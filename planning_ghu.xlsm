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AA9D4BAF-9D69-47AF-A02F-78E45E8247B4}" xr6:coauthVersionLast="47" xr6:coauthVersionMax="47" xr10:uidLastSave="{00000000-0000-0000-0000-000000000000}"/>
  <bookViews>
    <workbookView xWindow="28680" yWindow="630" windowWidth="29040" windowHeight="15840" tabRatio="899" activeTab="10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33" l="1"/>
  <c r="J31" i="33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S5" i="33"/>
  <c r="S20" i="33"/>
  <c r="S6" i="33"/>
  <c r="E21" i="33" l="1"/>
  <c r="BD24" i="32" l="1"/>
  <c r="BO10" i="27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8" i="33"/>
  <c r="J9" i="33"/>
  <c r="J4" i="33"/>
  <c r="J22" i="33" s="1"/>
  <c r="S15" i="33" s="1"/>
  <c r="S16" i="33" s="1"/>
  <c r="S17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S8" i="33" s="1"/>
  <c r="S10" i="33" s="1"/>
  <c r="S12" i="33" s="1"/>
  <c r="S19" i="33" s="1"/>
  <c r="S21" i="33" s="1"/>
  <c r="S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<sst xmlns="http://schemas.openxmlformats.org/spreadsheetml/2006/main" count="5433" uniqueCount="649">
  <si>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</si>
  <si>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</si>
  <si>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</si>
  <si>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</si>
  <si>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</si>
  <si>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</si>
  <si>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</si>
  <si>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</si>
  <si>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</si>
  <si>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</si>
  <si>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</si>
  <si>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</si>
  <si>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</si>
  <si>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</si>
  <si>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</si>
  <si>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</si>
  <si>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</si>
  <si>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</si>
  <si>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</si>
  <si>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</si>
  <si>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</si>
  <si>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</si>
  <si>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</si>
  <si>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</si>
  <si>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</si>
  <si>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</si>
  <si>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</si>
  <si>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</si>
  <si>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</si>
  <si>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</si>
  <si>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</si>
  <si>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</si>
  <si>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</si>
  <si>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</si>
  <si>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</si>
  <si>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</si>
  <si>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</si>
  <si>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</si>
  <si>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</si>
  <si>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</si>
  <si>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</si>
  <si>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</si>
  <si>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</si>
  <si>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</si>
  <si>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</si>
  <si>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</si>
  <si>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</si>
  <si>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</si>
  <si>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</si>
  <si>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</si>
  <si>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</si>
  <si>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</si>
  <si>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</si>
  <si>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</si>
  <si>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</si>
  <si>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</si>
  <si>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</si>
  <si>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</si>
  <si>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</si>
  <si>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</si>
  <si>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</si>
  <si>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</si>
  <si>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</si>
  <si>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</si>
  <si>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</si>
  <si>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</si>
  <si>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</si>
  <si>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</si>
  <si>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</si>
  <si>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</si>
  <si>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</si>
  <si>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</si>
  <si>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</si>
  <si>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</si>
  <si>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</si>
  <si>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</si>
  <si>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</si>
  <si>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</si>
  <si>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</si>
  <si>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</si>
  <si>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</si>
  <si>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</si>
  <si>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</si>
  <si>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</si>
  <si>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</si>
  <si>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</si>
  <si>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</si>
  <si>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</si>
  <si>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</si>
  <si>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</si>
  <si>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</si>
  <si>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</si>
  <si>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</si>
  <si>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</si>
  <si>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</si>
  <si>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</si>
  <si>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</si>
  <si>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</si>
  <si>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</si>
  <si>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</si>
  <si>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</si>
  <si>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</si>
  <si>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</si>
  <si>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</si>
  <si>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</si>
  <si>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</si>
  <si>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</si>
  <si>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</si>
  <si>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</si>
  <si>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</si>
  <si>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</si>
  <si>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</si>
  <si>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</si>
  <si>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</si>
  <si>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</si>
  <si>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</si>
  <si>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</si>
  <si>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</si>
  <si>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</si>
  <si>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</si>
  <si>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</si>
  <si>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</si>
  <si>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</si>
  <si>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</si>
  <si>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</si>
  <si>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</si>
  <si>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</si>
  <si>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</si>
  <si>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</si>
  <si>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</si>
  <si>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</si>
  <si>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</si>
  <si>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</si>
  <si>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</si>
  <si>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</si>
  <si>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</si>
  <si>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</si>
  <si>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</si>
  <si>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</si>
  <si>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</si>
  <si>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</si>
  <si>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</si>
  <si>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</si>
  <si>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</si>
  <si>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</si>
  <si>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</si>
  <si>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</si>
  <si>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</si>
  <si>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</si>
  <si>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</si>
  <si>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</si>
  <si>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</si>
  <si>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</si>
  <si>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</si>
  <si>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</si>
  <si>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</si>
  <si>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</si>
  <si>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</si>
  <si>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</si>
  <si>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</si>
  <si>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</si>
  <si>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</si>
  <si>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</si>
  <si>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</si>
  <si>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</si>
  <si>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</si>
  <si>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</si>
  <si>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</si>
  <si>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</si>
  <si>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</si>
  <si>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</si>
  <si>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</si>
  <si>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</si>
  <si>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</si>
  <si>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</si>
  <si>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</si>
  <si>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</si>
  <si>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</si>
  <si>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</si>
  <si>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</si>
  <si>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</si>
  <si>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</si>
  <si>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</si>
  <si>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</si>
  <si>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</si>
  <si>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</si>
  <si>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</si>
  <si>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</si>
  <si>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</si>
  <si>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</si>
  <si>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</si>
  <si>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</si>
  <si>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</si>
  <si>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</si>
  <si>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</si>
  <si>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</si>
  <si>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</si>
  <si>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</si>
  <si>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</si>
  <si>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</si>
  <si>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</si>
  <si>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</si>
  <si>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</si>
  <si>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</si>
  <si>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</si>
  <si>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</si>
  <si>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</si>
  <si>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</si>
  <si>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</si>
  <si>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</si>
  <si>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</si>
  <si>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</si>
  <si>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</si>
  <si>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</si>
  <si>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</si>
  <si>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</si>
  <si>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</si>
  <si>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</si>
  <si>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</si>
  <si>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</si>
  <si>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</si>
  <si>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</si>
  <si>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</si>
  <si>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</si>
  <si>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</si>
  <si>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</si>
  <si>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</si>
  <si>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</si>
  <si>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</si>
  <si>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</si>
  <si>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</si>
  <si>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</si>
  <si>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</si>
  <si>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</si>
  <si>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</si>
  <si>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</si>
  <si>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</si>
  <si>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</si>
  <si>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</si>
  <si>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</si>
  <si>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</si>
  <si>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</si>
  <si>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</si>
  <si>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</si>
  <si>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</si>
  <si>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</si>
  <si>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</si>
  <si>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</si>
  <si>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</si>
  <si>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</si>
  <si>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</si>
  <si>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</si>
  <si>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</si>
  <si>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</si>
  <si>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</si>
  <si>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</si>
  <si>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</si>
  <si>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</si>
  <si>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</si>
  <si>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</si>
  <si>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</si>
  <si>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</si>
  <si>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</si>
  <si>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</si>
  <si>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</si>
  <si>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</si>
  <si>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</si>
  <si>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</si>
  <si>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</si>
  <si>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</si>
  <si>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</si>
  <si>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</si>
  <si>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</si>
  <si>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</si>
  <si>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</si>
  <si>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</si>
  <si>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</si>
  <si>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</si>
  <si>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</si>
  <si>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</si>
  <si>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</si>
  <si>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</si>
  <si>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</si>
  <si>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</si>
  <si>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</si>
  <si>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</si>
  <si>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</si>
  <si>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</si>
  <si>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</si>
  <si>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</si>
  <si>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</si>
  <si>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</si>
  <si>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</si>
  <si>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</si>
  <si>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</si>
  <si>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</si>
  <si>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</si>
  <si>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</si>
  <si>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</si>
  <si>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</si>
  <si>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</si>
  <si>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</si>
  <si>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</si>
  <si>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</si>
  <si>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</si>
  <si>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</si>
  <si>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</si>
  <si>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</si>
  <si>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</si>
  <si>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</si>
  <si>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</si>
  <si>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</si>
  <si>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</si>
  <si>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</si>
  <si>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</si>
  <si>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</si>
  <si>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</si>
  <si>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</si>
  <si>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</si>
  <si>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</si>
  <si>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</si>
  <si>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</si>
  <si>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</si>
  <si>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</si>
  <si>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</si>
  <si>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</si>
  <si>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</si>
  <si>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</si>
  <si>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</si>
  <si>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</si>
  <si>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</si>
  <si>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</si>
  <si>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</si>
  <si>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</si>
  <si>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</si>
  <si>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</si>
  <si>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</si>
  <si>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</si>
  <si>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</si>
  <si>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</si>
  <si>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</si>
  <si>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</si>
  <si>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</si>
  <si>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</si>
  <si>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</si>
  <si>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</si>
  <si>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</si>
  <si>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</si>
  <si>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</si>
  <si>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</si>
  <si>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</si>
  <si>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</si>
  <si>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</si>
  <si>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</si>
  <si>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</si>
  <si>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</si>
  <si>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</si>
  <si>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</si>
  <si>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</si>
  <si>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</si>
  <si>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</si>
  <si>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</si>
  <si>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</si>
  <si>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</si>
  <si>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</si>
  <si>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</si>
  <si>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</si>
  <si>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</si>
  <si>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</si>
  <si>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</si>
  <si>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</si>
  <si>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</si>
  <si>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</si>
  <si>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</si>
  <si>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</si>
  <si>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</si>
  <si>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</si>
  <si>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</si>
  <si>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</si>
  <si>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</si>
  <si>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</si>
  <si>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</si>
  <si>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</si>
  <si>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</si>
  <si>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</si>
  <si>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</si>
  <si>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</si>
  <si>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</si>
  <si>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</si>
  <si>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</si>
  <si>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</si>
  <si>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</si>
  <si>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</si>
  <si>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</si>
  <si>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</si>
  <si>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</si>
  <si>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</si>
  <si>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</si>
  <si>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</si>
  <si>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</si>
  <si>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</si>
  <si>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</si>
  <si>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</si>
  <si>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</si>
  <si>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</si>
  <si>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</si>
  <si>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</si>
  <si>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</si>
  <si>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</si>
  <si>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</si>
  <si>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</si>
  <si>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</si>
  <si>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</si>
  <si>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</si>
  <si>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</si>
  <si>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</si>
  <si>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</si>
  <si>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</si>
  <si>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</si>
  <si>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</si>
  <si>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</si>
  <si>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</si>
  <si>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</si>
  <si>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</si>
  <si>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</si>
  <si>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</si>
  <si>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</si>
  <si>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</si>
  <si>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</si>
  <si>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</si>
  <si>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</si>
  <si>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</si>
  <si>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</si>
  <si>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</si>
  <si>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</si>
  <si>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</si>
  <si>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</si>
  <si>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</si>
  <si>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</si>
  <si>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</si>
  <si>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</si>
  <si>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</si>
  <si>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</si>
  <si>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</si>
  <si>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</si>
  <si>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</si>
  <si>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</si>
  <si>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</si>
  <si>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</si>
  <si>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</si>
  <si>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</si>
  <si>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</si>
  <si>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</si>
  <si>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</si>
  <si>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</si>
  <si>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</si>
  <si>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</si>
  <si>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</si>
  <si>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</si>
  <si>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</si>
  <si>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</si>
  <si>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</si>
  <si>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</si>
  <si>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</si>
  <si>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</si>
  <si>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</si>
  <si>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</si>
  <si>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</si>
  <si>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</si>
  <si>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</si>
  <si>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</si>
  <si>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</si>
  <si>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</si>
  <si>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</si>
  <si>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</si>
  <si>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</si>
  <si>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</si>
  <si>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</si>
  <si>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</si>
  <si>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</si>
  <si>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</si>
  <si>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</si>
  <si>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</si>
  <si>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</si>
  <si>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</si>
  <si>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</si>
  <si>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</si>
  <si>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</si>
  <si>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</si>
  <si>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</si>
  <si>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</si>
  <si>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</si>
  <si>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</si>
  <si>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</si>
  <si>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</si>
  <si>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</si>
  <si>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</si>
  <si>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</si>
  <si>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</si>
  <si>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</si>
  <si>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</si>
  <si>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</si>
  <si>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</si>
  <si>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</si>
  <si>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</si>
  <si>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</si>
  <si>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</si>
  <si>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</si>
  <si>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</si>
  <si>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</si>
  <si>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</si>
  <si>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</si>
  <si>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</si>
  <si>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</si>
  <si>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</si>
  <si>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</si>
  <si>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</si>
  <si>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</si>
  <si>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</si>
  <si>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</si>
  <si>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</si>
  <si>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</si>
  <si>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</si>
  <si>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</si>
  <si>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</si>
  <si>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</si>
  <si>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</si>
  <si>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</si>
  <si>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</si>
  <si>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</si>
  <si>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</si>
  <si>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</si>
  <si>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</si>
  <si>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</si>
  <si>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</si>
  <si>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</si>
  <si>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</si>
  <si>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</si>
  <si>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</si>
  <si>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</si>
  <si>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</si>
  <si>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</si>
  <si>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</si>
  <si>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</si>
  <si>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</si>
  <si>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</si>
  <si>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</si>
  <si>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</si>
  <si>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</si>
  <si>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</si>
  <si>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</si>
  <si>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</si>
  <si>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</si>
  <si>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</si>
  <si>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</si>
  <si>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</si>
  <si>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</si>
  <si>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</si>
  <si>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</si>
  <si>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</si>
  <si>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</si>
  <si>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</si>
  <si>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</si>
  <si>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</si>
  <si>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</si>
  <si>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</si>
  <si>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</si>
  <si>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</si>
  <si>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</si>
  <si>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</si>
  <si>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</si>
  <si>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</si>
  <si>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</si>
  <si>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</si>
  <si>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</si>
  <si>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</si>
  <si>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</si>
  <si>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</si>
  <si>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</si>
  <si>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</si>
  <si>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</si>
  <si>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</si>
  <si>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</si>
  <si>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</si>
  <si>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</si>
  <si>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</si>
  <si>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</si>
  <si>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</si>
  <si>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</si>
  <si>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</si>
  <si>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</si>
  <si>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</si>
  <si>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</si>
  <si>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</si>
  <si>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</si>
  <si>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</si>
  <si>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</si>
  <si>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</si>
  <si>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</si>
  <si>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</si>
  <si>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</si>
  <si>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</si>
  <si>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</si>
  <si>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</si>
  <si>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</si>
  <si>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</si>
  <si>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</si>
  <si>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</si>
  <si>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</si>
  <si>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</si>
  <si>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</si>
  <si>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</si>
  <si>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</si>
  <si>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</si>
  <si>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</si>
  <si>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</si>
  <si>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</si>
  <si>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</si>
  <si>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</si>
  <si>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</si>
  <si>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</si>
  <si>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</si>
  <si>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</si>
  <si>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</si>
  <si>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</si>
  <si>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</si>
  <si>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</si>
  <si>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</si>
  <si>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</si>
  <si>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</si>
  <si>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</si>
  <si>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Aides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</si>
  <si>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</si>
  <si>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</si>
  <si>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</si>
  <si>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</si>
  <si>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</si>
  <si>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</si>
  <si>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</si>
  <si>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</si>
  <si>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Agri bio mois de 3 HA</t>
  </si>
  <si>
    <t>Aide install Hors DJA</t>
  </si>
  <si>
    <t>Agriboost</t>
  </si>
  <si>
    <t>Prêt à taux zéro 10 à 35K €</t>
  </si>
  <si>
    <t>PCAE MAEC ?</t>
  </si>
  <si>
    <t>Agriculteur actif</t>
  </si>
  <si>
    <t>Aide region 41 48 ans agri bio à l'installation donc 1 fois</t>
  </si>
  <si>
    <t>Aides annuelles</t>
  </si>
  <si>
    <t>Aides à l'installation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</si>
</sst>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91" formatCode="0.0&quot; € / an&quot;"/>
  </numFmts>
  <fonts count="5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</cellStyleXfs>
  <cellXfs count="157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5" borderId="17" xfId="0" applyFont="1" applyFill="1" applyBorder="1" applyAlignment="1">
      <alignment horizontal="center" vertical="center"/>
    </xf>
    <xf numFmtId="0" fontId="34" fillId="5" borderId="21" xfId="0" applyFont="1" applyFill="1" applyBorder="1" applyAlignment="1">
      <alignment horizontal="center" vertical="center"/>
    </xf>
    <xf numFmtId="0" fontId="34" fillId="3" borderId="17" xfId="0" applyFont="1" applyFill="1" applyBorder="1" applyAlignment="1">
      <alignment horizontal="center" vertical="center"/>
    </xf>
    <xf numFmtId="0" fontId="34" fillId="3" borderId="21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7" fillId="0" borderId="107" xfId="0" applyFont="1" applyBorder="1" applyAlignment="1">
      <alignment horizontal="center" vertical="center" wrapText="1"/>
    </xf>
    <xf numFmtId="0" fontId="37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8" fillId="0" borderId="110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9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8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9" fillId="0" borderId="20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8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8" fillId="0" borderId="116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9" fillId="0" borderId="85" xfId="0" applyFont="1" applyBorder="1" applyAlignment="1">
      <alignment vertical="center"/>
    </xf>
    <xf numFmtId="0" fontId="39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8" fillId="0" borderId="125" xfId="0" applyFont="1" applyBorder="1" applyAlignment="1">
      <alignment vertical="center"/>
    </xf>
    <xf numFmtId="0" fontId="38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6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6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6" fillId="0" borderId="124" xfId="0" applyFont="1" applyBorder="1" applyAlignment="1">
      <alignment vertical="center"/>
    </xf>
    <xf numFmtId="0" fontId="36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40" fillId="0" borderId="111" xfId="0" applyFont="1" applyBorder="1" applyAlignment="1">
      <alignment vertical="center"/>
    </xf>
    <xf numFmtId="0" fontId="40" fillId="0" borderId="110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116" xfId="0" applyFont="1" applyBorder="1" applyAlignment="1">
      <alignment vertical="center"/>
    </xf>
    <xf numFmtId="0" fontId="36" fillId="0" borderId="11" xfId="0" applyFont="1" applyBorder="1" applyAlignment="1">
      <alignment vertical="center"/>
    </xf>
    <xf numFmtId="0" fontId="36" fillId="0" borderId="5" xfId="0" applyFont="1" applyBorder="1" applyAlignment="1">
      <alignment vertical="center"/>
    </xf>
    <xf numFmtId="0" fontId="36" fillId="0" borderId="10" xfId="0" applyFont="1" applyBorder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41" fillId="0" borderId="20" xfId="0" applyFont="1" applyBorder="1" applyAlignment="1">
      <alignment vertical="center"/>
    </xf>
    <xf numFmtId="0" fontId="42" fillId="0" borderId="0" xfId="0" applyFont="1"/>
    <xf numFmtId="0" fontId="42" fillId="11" borderId="3" xfId="0" applyFont="1" applyFill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50" borderId="12" xfId="7" applyFont="1" applyBorder="1" applyAlignment="1">
      <alignment horizontal="center" vertical="center" wrapText="1"/>
    </xf>
    <xf numFmtId="0" fontId="43" fillId="49" borderId="12" xfId="6" applyFont="1" applyBorder="1" applyAlignment="1">
      <alignment horizontal="center" vertical="center" wrapText="1"/>
    </xf>
    <xf numFmtId="0" fontId="43" fillId="52" borderId="14" xfId="9" applyFont="1" applyBorder="1" applyAlignment="1">
      <alignment horizontal="center" vertical="center" wrapText="1"/>
    </xf>
    <xf numFmtId="0" fontId="43" fillId="46" borderId="3" xfId="2" applyFont="1" applyBorder="1" applyAlignment="1">
      <alignment horizontal="center" vertical="center" wrapText="1"/>
    </xf>
    <xf numFmtId="0" fontId="43" fillId="40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4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5" fillId="48" borderId="3" xfId="5" applyFont="1" applyBorder="1" applyAlignment="1">
      <alignment horizontal="center" vertical="center" wrapText="1"/>
    </xf>
    <xf numFmtId="0" fontId="45" fillId="48" borderId="3" xfId="5" applyFont="1" applyBorder="1" applyAlignment="1">
      <alignment horizontal="center" vertical="center"/>
    </xf>
    <xf numFmtId="187" fontId="45" fillId="48" borderId="3" xfId="5" applyNumberFormat="1" applyFont="1" applyBorder="1" applyAlignment="1">
      <alignment horizontal="center" vertical="center"/>
    </xf>
    <xf numFmtId="164" fontId="45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0" fontId="42" fillId="10" borderId="12" xfId="0" applyFont="1" applyFill="1" applyBorder="1" applyAlignment="1">
      <alignment horizontal="center" vertical="center" wrapText="1"/>
    </xf>
    <xf numFmtId="0" fontId="42" fillId="10" borderId="15" xfId="0" applyFont="1" applyFill="1" applyBorder="1" applyAlignment="1">
      <alignment horizontal="center" vertical="center" wrapText="1"/>
    </xf>
    <xf numFmtId="0" fontId="43" fillId="49" borderId="14" xfId="6" applyFont="1" applyBorder="1" applyAlignment="1">
      <alignment horizontal="center" vertical="center" wrapText="1"/>
    </xf>
    <xf numFmtId="0" fontId="43" fillId="49" borderId="15" xfId="6" applyFont="1" applyBorder="1" applyAlignment="1">
      <alignment horizontal="center" vertical="center" wrapText="1"/>
    </xf>
    <xf numFmtId="0" fontId="43" fillId="52" borderId="12" xfId="9" applyFont="1" applyBorder="1" applyAlignment="1">
      <alignment horizontal="center" vertical="center" wrapText="1"/>
    </xf>
    <xf numFmtId="0" fontId="43" fillId="52" borderId="15" xfId="9" applyFont="1" applyBorder="1" applyAlignment="1">
      <alignment horizontal="center" vertical="center" wrapText="1"/>
    </xf>
    <xf numFmtId="0" fontId="43" fillId="52" borderId="14" xfId="9" applyFont="1" applyBorder="1" applyAlignment="1">
      <alignment horizontal="center" vertical="center" wrapText="1"/>
    </xf>
    <xf numFmtId="0" fontId="42" fillId="51" borderId="12" xfId="8" applyFont="1" applyBorder="1" applyAlignment="1">
      <alignment horizontal="center" vertical="center" wrapText="1"/>
    </xf>
    <xf numFmtId="0" fontId="42" fillId="51" borderId="14" xfId="8" applyFont="1" applyBorder="1" applyAlignment="1">
      <alignment horizontal="center" vertical="center" wrapText="1"/>
    </xf>
    <xf numFmtId="0" fontId="42" fillId="51" borderId="15" xfId="8" applyFont="1" applyBorder="1" applyAlignment="1">
      <alignment horizontal="center" vertical="center" wrapText="1"/>
    </xf>
    <xf numFmtId="0" fontId="43" fillId="48" borderId="12" xfId="5" applyFont="1" applyBorder="1" applyAlignment="1">
      <alignment horizontal="center" vertical="center" wrapText="1"/>
    </xf>
    <xf numFmtId="0" fontId="43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17" borderId="10" xfId="0" applyFont="1" applyFill="1" applyBorder="1" applyAlignment="1">
      <alignment horizontal="center" vertical="center"/>
    </xf>
    <xf numFmtId="0" fontId="35" fillId="17" borderId="11" xfId="0" applyFont="1" applyFill="1" applyBorder="1" applyAlignment="1">
      <alignment horizontal="center" vertical="center"/>
    </xf>
    <xf numFmtId="0" fontId="35" fillId="17" borderId="5" xfId="0" applyFont="1" applyFill="1" applyBorder="1" applyAlignment="1">
      <alignment horizontal="center" vertical="center"/>
    </xf>
    <xf numFmtId="0" fontId="35" fillId="18" borderId="10" xfId="0" applyFont="1" applyFill="1" applyBorder="1" applyAlignment="1">
      <alignment horizontal="center" vertical="center"/>
    </xf>
    <xf numFmtId="0" fontId="35" fillId="18" borderId="11" xfId="0" applyFont="1" applyFill="1" applyBorder="1" applyAlignment="1">
      <alignment horizontal="center" vertical="center"/>
    </xf>
    <xf numFmtId="0" fontId="35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12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22" xfId="0" applyFont="1" applyBorder="1" applyAlignment="1">
      <alignment horizontal="center" vertical="center"/>
    </xf>
    <xf numFmtId="0" fontId="36" fillId="26" borderId="119" xfId="0" applyFont="1" applyFill="1" applyBorder="1" applyAlignment="1">
      <alignment horizontal="center" vertical="center"/>
    </xf>
    <xf numFmtId="0" fontId="36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36" fillId="24" borderId="14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36" fillId="25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6" fillId="26" borderId="15" xfId="0" applyFont="1" applyFill="1" applyBorder="1" applyAlignment="1">
      <alignment horizontal="center" vertical="center"/>
    </xf>
    <xf numFmtId="0" fontId="36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6" fillId="25" borderId="119" xfId="0" applyFont="1" applyFill="1" applyBorder="1" applyAlignment="1">
      <alignment horizontal="center" vertical="center"/>
    </xf>
    <xf numFmtId="0" fontId="36" fillId="23" borderId="119" xfId="0" applyFont="1" applyFill="1" applyBorder="1" applyAlignment="1">
      <alignment horizontal="center" vertical="center"/>
    </xf>
    <xf numFmtId="0" fontId="36" fillId="23" borderId="3" xfId="0" applyFont="1" applyFill="1" applyBorder="1" applyAlignment="1">
      <alignment horizontal="center" vertical="center"/>
    </xf>
    <xf numFmtId="0" fontId="36" fillId="23" borderId="12" xfId="0" applyFont="1" applyFill="1" applyBorder="1" applyAlignment="1">
      <alignment horizontal="center" vertical="center"/>
    </xf>
    <xf numFmtId="0" fontId="36" fillId="23" borderId="86" xfId="0" applyFont="1" applyFill="1" applyBorder="1" applyAlignment="1">
      <alignment horizontal="center" vertical="center"/>
    </xf>
    <xf numFmtId="0" fontId="36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6" fillId="31" borderId="121" xfId="0" applyFont="1" applyFill="1" applyBorder="1" applyAlignment="1">
      <alignment horizontal="center" vertical="center"/>
    </xf>
    <xf numFmtId="0" fontId="36" fillId="31" borderId="122" xfId="0" applyFont="1" applyFill="1" applyBorder="1" applyAlignment="1">
      <alignment horizontal="center" vertical="center"/>
    </xf>
    <xf numFmtId="0" fontId="36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36" fillId="10" borderId="10" xfId="0" applyFont="1" applyFill="1" applyBorder="1" applyAlignment="1">
      <alignment horizontal="center" vertical="center"/>
    </xf>
    <xf numFmtId="0" fontId="36" fillId="10" borderId="11" xfId="0" applyFont="1" applyFill="1" applyBorder="1" applyAlignment="1">
      <alignment horizontal="center" vertical="center"/>
    </xf>
    <xf numFmtId="0" fontId="36" fillId="10" borderId="5" xfId="0" applyFont="1" applyFill="1" applyBorder="1" applyAlignment="1">
      <alignment horizontal="center" vertical="center"/>
    </xf>
    <xf numFmtId="0" fontId="36" fillId="26" borderId="18" xfId="0" applyFont="1" applyFill="1" applyBorder="1" applyAlignment="1">
      <alignment horizontal="center" vertical="center"/>
    </xf>
    <xf numFmtId="0" fontId="36" fillId="26" borderId="104" xfId="0" applyFont="1" applyFill="1" applyBorder="1" applyAlignment="1">
      <alignment horizontal="center" vertical="center"/>
    </xf>
    <xf numFmtId="0" fontId="36" fillId="26" borderId="19" xfId="0" applyFont="1" applyFill="1" applyBorder="1" applyAlignment="1">
      <alignment horizontal="center" vertical="center"/>
    </xf>
    <xf numFmtId="0" fontId="36" fillId="26" borderId="116" xfId="0" applyFont="1" applyFill="1" applyBorder="1" applyAlignment="1">
      <alignment horizontal="center" vertical="center"/>
    </xf>
    <xf numFmtId="0" fontId="36" fillId="26" borderId="117" xfId="0" applyFont="1" applyFill="1" applyBorder="1" applyAlignment="1">
      <alignment horizontal="center" vertical="center"/>
    </xf>
    <xf numFmtId="0" fontId="36" fillId="26" borderId="85" xfId="0" applyFont="1" applyFill="1" applyBorder="1" applyAlignment="1">
      <alignment horizontal="center" vertical="center"/>
    </xf>
    <xf numFmtId="0" fontId="36" fillId="32" borderId="10" xfId="0" applyFont="1" applyFill="1" applyBorder="1" applyAlignment="1">
      <alignment horizontal="center" vertical="center"/>
    </xf>
    <xf numFmtId="0" fontId="36" fillId="32" borderId="11" xfId="0" applyFont="1" applyFill="1" applyBorder="1" applyAlignment="1">
      <alignment horizontal="center" vertical="center"/>
    </xf>
    <xf numFmtId="0" fontId="36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64" fontId="46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6" fillId="53" borderId="12" xfId="10" applyNumberFormat="1" applyFont="1" applyFill="1" applyBorder="1" applyAlignment="1">
      <alignment horizontal="center" vertical="center" wrapText="1"/>
    </xf>
    <xf numFmtId="188" fontId="46" fillId="53" borderId="15" xfId="10" applyNumberFormat="1" applyFont="1" applyFill="1" applyBorder="1" applyAlignment="1">
      <alignment horizontal="center" vertical="center" wrapText="1"/>
    </xf>
    <xf numFmtId="188" fontId="46" fillId="0" borderId="0" xfId="10" applyNumberFormat="1" applyFont="1" applyAlignment="1">
      <alignment horizontal="center" vertical="center" wrapText="1"/>
    </xf>
    <xf numFmtId="188" fontId="46" fillId="55" borderId="3" xfId="10" applyNumberFormat="1" applyFont="1" applyFill="1" applyBorder="1" applyAlignment="1">
      <alignment horizontal="center" vertical="center" wrapText="1"/>
    </xf>
    <xf numFmtId="188" fontId="46" fillId="10" borderId="3" xfId="10" applyNumberFormat="1" applyFont="1" applyFill="1" applyBorder="1" applyAlignment="1">
      <alignment horizontal="center" vertical="center" wrapText="1"/>
    </xf>
    <xf numFmtId="188" fontId="46" fillId="10" borderId="3" xfId="10" applyNumberFormat="1" applyFont="1" applyFill="1" applyBorder="1" applyAlignment="1">
      <alignment horizontal="center" vertical="center"/>
    </xf>
    <xf numFmtId="188" fontId="46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164" fontId="0" fillId="0" borderId="15" xfId="0" applyNumberFormat="1" applyBorder="1" applyAlignment="1">
      <alignment horizontal="center" vertical="center" wrapText="1"/>
    </xf>
    <xf numFmtId="191" fontId="0" fillId="0" borderId="3" xfId="0" applyNumberFormat="1" applyBorder="1"/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7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8" fillId="0" borderId="12" xfId="0" applyFont="1" applyBorder="1" applyAlignment="1">
      <alignment vertical="center"/>
    </xf>
    <xf numFmtId="0" fontId="47" fillId="0" borderId="12" xfId="0" applyFont="1" applyBorder="1" applyAlignment="1">
      <alignment horizontal="center" vertical="center" wrapText="1"/>
    </xf>
    <xf numFmtId="0" fontId="47" fillId="0" borderId="207" xfId="0" applyFont="1" applyBorder="1" applyAlignment="1">
      <alignment horizontal="center" vertical="center" wrapText="1"/>
    </xf>
    <xf numFmtId="0" fontId="47" fillId="0" borderId="19" xfId="0" applyFont="1" applyBorder="1" applyAlignment="1">
      <alignment horizontal="center" vertical="center" wrapText="1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0" borderId="17" xfId="0" applyFont="1" applyBorder="1" applyAlignment="1">
      <alignment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20" xfId="0" applyFont="1" applyBorder="1" applyAlignment="1">
      <alignment vertical="center"/>
    </xf>
    <xf numFmtId="0" fontId="49" fillId="0" borderId="0" xfId="0" applyFont="1" applyAlignment="1">
      <alignment vertical="center"/>
    </xf>
    <xf numFmtId="0" fontId="49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50" fillId="0" borderId="17" xfId="0" applyFont="1" applyBorder="1" applyAlignment="1">
      <alignment vertical="center"/>
    </xf>
    <xf numFmtId="0" fontId="50" fillId="0" borderId="105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17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2" fillId="0" borderId="105" xfId="0" applyFont="1" applyBorder="1" applyAlignment="1">
      <alignment vertical="center"/>
    </xf>
    <xf numFmtId="0" fontId="52" fillId="0" borderId="20" xfId="0" applyFont="1" applyBorder="1" applyAlignment="1">
      <alignment vertical="center"/>
    </xf>
    <xf numFmtId="0" fontId="52" fillId="36" borderId="3" xfId="0" applyFont="1" applyFill="1" applyBorder="1" applyAlignment="1">
      <alignment horizontal="center" vertical="center"/>
    </xf>
    <xf numFmtId="0" fontId="52" fillId="36" borderId="18" xfId="0" applyFont="1" applyFill="1" applyBorder="1" applyAlignment="1">
      <alignment horizontal="center" vertical="center"/>
    </xf>
    <xf numFmtId="0" fontId="52" fillId="36" borderId="104" xfId="0" applyFont="1" applyFill="1" applyBorder="1" applyAlignment="1">
      <alignment horizontal="center" vertical="center"/>
    </xf>
    <xf numFmtId="0" fontId="52" fillId="36" borderId="19" xfId="0" applyFont="1" applyFill="1" applyBorder="1" applyAlignment="1">
      <alignment horizontal="center" vertical="center"/>
    </xf>
    <xf numFmtId="0" fontId="53" fillId="47" borderId="0" xfId="0" applyFont="1" applyFill="1" applyAlignment="1">
      <alignment horizontal="center" vertical="center"/>
    </xf>
    <xf numFmtId="0" fontId="53" fillId="47" borderId="20" xfId="0" applyFont="1" applyFill="1" applyBorder="1" applyAlignment="1">
      <alignment horizontal="center" vertical="center"/>
    </xf>
    <xf numFmtId="0" fontId="54" fillId="0" borderId="0" xfId="0" applyFont="1" applyAlignment="1">
      <alignment vertical="center"/>
    </xf>
    <xf numFmtId="0" fontId="52" fillId="36" borderId="17" xfId="0" applyFont="1" applyFill="1" applyBorder="1" applyAlignment="1">
      <alignment horizontal="center" vertical="center"/>
    </xf>
    <xf numFmtId="0" fontId="52" fillId="36" borderId="0" xfId="0" applyFont="1" applyFill="1" applyAlignment="1">
      <alignment horizontal="center" vertical="center"/>
    </xf>
    <xf numFmtId="0" fontId="52" fillId="36" borderId="20" xfId="0" applyFont="1" applyFill="1" applyBorder="1" applyAlignment="1">
      <alignment horizontal="center" vertical="center"/>
    </xf>
    <xf numFmtId="0" fontId="52" fillId="0" borderId="0" xfId="0" applyFont="1" applyAlignment="1">
      <alignment vertical="center" wrapText="1"/>
    </xf>
    <xf numFmtId="0" fontId="52" fillId="0" borderId="20" xfId="0" applyFont="1" applyBorder="1" applyAlignment="1">
      <alignment vertical="center" wrapText="1"/>
    </xf>
    <xf numFmtId="0" fontId="55" fillId="0" borderId="17" xfId="0" applyFont="1" applyBorder="1" applyAlignment="1">
      <alignment vertical="center"/>
    </xf>
    <xf numFmtId="0" fontId="55" fillId="0" borderId="0" xfId="0" applyFont="1" applyAlignment="1">
      <alignment vertical="center"/>
    </xf>
    <xf numFmtId="0" fontId="55" fillId="0" borderId="105" xfId="0" applyFont="1" applyBorder="1" applyAlignment="1">
      <alignment vertical="center"/>
    </xf>
    <xf numFmtId="0" fontId="55" fillId="0" borderId="20" xfId="0" applyFont="1" applyBorder="1" applyAlignment="1">
      <alignment vertical="center"/>
    </xf>
    <xf numFmtId="0" fontId="56" fillId="0" borderId="0" xfId="0" applyFont="1" applyAlignment="1">
      <alignment vertical="center"/>
    </xf>
    <xf numFmtId="0" fontId="54" fillId="0" borderId="20" xfId="0" applyFont="1" applyBorder="1" applyAlignment="1">
      <alignment vertical="center"/>
    </xf>
    <xf numFmtId="0" fontId="52" fillId="36" borderId="21" xfId="0" applyFont="1" applyFill="1" applyBorder="1" applyAlignment="1">
      <alignment horizontal="center" vertical="center"/>
    </xf>
    <xf numFmtId="0" fontId="52" fillId="36" borderId="13" xfId="0" applyFont="1" applyFill="1" applyBorder="1" applyAlignment="1">
      <alignment horizontal="center" vertical="center"/>
    </xf>
    <xf numFmtId="0" fontId="52" fillId="36" borderId="22" xfId="0" applyFont="1" applyFill="1" applyBorder="1" applyAlignment="1">
      <alignment horizontal="center" vertical="center"/>
    </xf>
    <xf numFmtId="0" fontId="53" fillId="47" borderId="13" xfId="0" applyFont="1" applyFill="1" applyBorder="1" applyAlignment="1">
      <alignment horizontal="center" vertical="center"/>
    </xf>
    <xf numFmtId="0" fontId="53" fillId="47" borderId="22" xfId="0" applyFont="1" applyFill="1" applyBorder="1" applyAlignment="1">
      <alignment horizontal="center" vertical="center"/>
    </xf>
    <xf numFmtId="0" fontId="52" fillId="5" borderId="17" xfId="0" applyFont="1" applyFill="1" applyBorder="1" applyAlignment="1">
      <alignment horizontal="center" vertical="center"/>
    </xf>
    <xf numFmtId="0" fontId="52" fillId="25" borderId="18" xfId="0" applyFont="1" applyFill="1" applyBorder="1" applyAlignment="1">
      <alignment horizontal="center" vertical="center"/>
    </xf>
    <xf numFmtId="0" fontId="52" fillId="25" borderId="104" xfId="0" applyFont="1" applyFill="1" applyBorder="1" applyAlignment="1">
      <alignment horizontal="center" vertical="center"/>
    </xf>
    <xf numFmtId="0" fontId="52" fillId="25" borderId="19" xfId="0" applyFont="1" applyFill="1" applyBorder="1" applyAlignment="1">
      <alignment horizontal="center" vertical="center"/>
    </xf>
    <xf numFmtId="0" fontId="52" fillId="26" borderId="18" xfId="0" applyFont="1" applyFill="1" applyBorder="1" applyAlignment="1">
      <alignment horizontal="center" vertical="center"/>
    </xf>
    <xf numFmtId="0" fontId="52" fillId="26" borderId="104" xfId="0" applyFont="1" applyFill="1" applyBorder="1" applyAlignment="1">
      <alignment horizontal="center" vertical="center"/>
    </xf>
    <xf numFmtId="0" fontId="52" fillId="26" borderId="19" xfId="0" applyFont="1" applyFill="1" applyBorder="1" applyAlignment="1">
      <alignment horizontal="center" vertical="center"/>
    </xf>
    <xf numFmtId="0" fontId="52" fillId="28" borderId="18" xfId="0" applyFont="1" applyFill="1" applyBorder="1" applyAlignment="1">
      <alignment horizontal="center" vertical="center"/>
    </xf>
    <xf numFmtId="0" fontId="52" fillId="28" borderId="104" xfId="0" applyFont="1" applyFill="1" applyBorder="1" applyAlignment="1">
      <alignment horizontal="center" vertical="center"/>
    </xf>
    <xf numFmtId="0" fontId="52" fillId="28" borderId="19" xfId="0" applyFont="1" applyFill="1" applyBorder="1" applyAlignment="1">
      <alignment horizontal="center" vertical="center"/>
    </xf>
    <xf numFmtId="0" fontId="52" fillId="33" borderId="18" xfId="0" applyFont="1" applyFill="1" applyBorder="1" applyAlignment="1">
      <alignment horizontal="center" vertical="center"/>
    </xf>
    <xf numFmtId="0" fontId="52" fillId="33" borderId="104" xfId="0" applyFont="1" applyFill="1" applyBorder="1" applyAlignment="1">
      <alignment horizontal="center" vertical="center"/>
    </xf>
    <xf numFmtId="0" fontId="52" fillId="33" borderId="19" xfId="0" applyFont="1" applyFill="1" applyBorder="1" applyAlignment="1">
      <alignment horizontal="center" vertical="center"/>
    </xf>
    <xf numFmtId="0" fontId="52" fillId="0" borderId="104" xfId="0" applyFont="1" applyBorder="1" applyAlignment="1">
      <alignment vertical="center"/>
    </xf>
    <xf numFmtId="0" fontId="52" fillId="22" borderId="18" xfId="0" applyFont="1" applyFill="1" applyBorder="1" applyAlignment="1">
      <alignment horizontal="center" vertical="center"/>
    </xf>
    <xf numFmtId="0" fontId="52" fillId="22" borderId="104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0" borderId="206" xfId="0" applyFont="1" applyBorder="1" applyAlignment="1">
      <alignment vertical="center"/>
    </xf>
    <xf numFmtId="0" fontId="52" fillId="25" borderId="17" xfId="0" applyFont="1" applyFill="1" applyBorder="1" applyAlignment="1">
      <alignment horizontal="center" vertical="center"/>
    </xf>
    <xf numFmtId="0" fontId="52" fillId="25" borderId="0" xfId="0" applyFont="1" applyFill="1" applyAlignment="1">
      <alignment horizontal="center" vertical="center"/>
    </xf>
    <xf numFmtId="0" fontId="52" fillId="25" borderId="20" xfId="0" applyFont="1" applyFill="1" applyBorder="1" applyAlignment="1">
      <alignment horizontal="center" vertical="center"/>
    </xf>
    <xf numFmtId="0" fontId="52" fillId="26" borderId="17" xfId="0" applyFont="1" applyFill="1" applyBorder="1" applyAlignment="1">
      <alignment horizontal="center" vertical="center"/>
    </xf>
    <xf numFmtId="0" fontId="52" fillId="26" borderId="0" xfId="0" applyFont="1" applyFill="1" applyAlignment="1">
      <alignment horizontal="center" vertical="center"/>
    </xf>
    <xf numFmtId="0" fontId="52" fillId="26" borderId="20" xfId="0" applyFont="1" applyFill="1" applyBorder="1" applyAlignment="1">
      <alignment horizontal="center" vertical="center"/>
    </xf>
    <xf numFmtId="0" fontId="52" fillId="28" borderId="17" xfId="0" applyFont="1" applyFill="1" applyBorder="1" applyAlignment="1">
      <alignment horizontal="center" vertical="center"/>
    </xf>
    <xf numFmtId="0" fontId="52" fillId="28" borderId="0" xfId="0" applyFont="1" applyFill="1" applyAlignment="1">
      <alignment horizontal="center" vertical="center"/>
    </xf>
    <xf numFmtId="0" fontId="52" fillId="28" borderId="20" xfId="0" applyFont="1" applyFill="1" applyBorder="1" applyAlignment="1">
      <alignment horizontal="center" vertical="center"/>
    </xf>
    <xf numFmtId="0" fontId="52" fillId="33" borderId="17" xfId="0" applyFont="1" applyFill="1" applyBorder="1" applyAlignment="1">
      <alignment horizontal="center" vertical="center"/>
    </xf>
    <xf numFmtId="0" fontId="52" fillId="33" borderId="0" xfId="0" applyFont="1" applyFill="1" applyAlignment="1">
      <alignment horizontal="center" vertical="center"/>
    </xf>
    <xf numFmtId="0" fontId="52" fillId="33" borderId="20" xfId="0" applyFont="1" applyFill="1" applyBorder="1" applyAlignment="1">
      <alignment horizontal="center" vertical="center"/>
    </xf>
    <xf numFmtId="0" fontId="52" fillId="22" borderId="17" xfId="0" applyFont="1" applyFill="1" applyBorder="1" applyAlignment="1">
      <alignment horizontal="center" vertical="center"/>
    </xf>
    <xf numFmtId="0" fontId="52" fillId="22" borderId="0" xfId="0" applyFont="1" applyFill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0" borderId="166" xfId="0" applyFont="1" applyBorder="1" applyAlignment="1">
      <alignment vertical="center"/>
    </xf>
    <xf numFmtId="0" fontId="52" fillId="25" borderId="21" xfId="0" applyFont="1" applyFill="1" applyBorder="1" applyAlignment="1">
      <alignment horizontal="center" vertical="center"/>
    </xf>
    <xf numFmtId="0" fontId="52" fillId="25" borderId="13" xfId="0" applyFont="1" applyFill="1" applyBorder="1" applyAlignment="1">
      <alignment horizontal="center" vertical="center"/>
    </xf>
    <xf numFmtId="0" fontId="52" fillId="33" borderId="21" xfId="0" applyFont="1" applyFill="1" applyBorder="1" applyAlignment="1">
      <alignment horizontal="center" vertical="center"/>
    </xf>
    <xf numFmtId="0" fontId="52" fillId="33" borderId="13" xfId="0" applyFont="1" applyFill="1" applyBorder="1" applyAlignment="1">
      <alignment horizontal="center" vertical="center"/>
    </xf>
    <xf numFmtId="0" fontId="52" fillId="33" borderId="22" xfId="0" applyFont="1" applyFill="1" applyBorder="1" applyAlignment="1">
      <alignment horizontal="center" vertical="center"/>
    </xf>
    <xf numFmtId="0" fontId="52" fillId="26" borderId="21" xfId="0" applyFont="1" applyFill="1" applyBorder="1" applyAlignment="1">
      <alignment horizontal="center" vertical="center"/>
    </xf>
    <xf numFmtId="0" fontId="52" fillId="24" borderId="18" xfId="0" applyFont="1" applyFill="1" applyBorder="1" applyAlignment="1">
      <alignment horizontal="center" vertical="center"/>
    </xf>
    <xf numFmtId="0" fontId="52" fillId="24" borderId="104" xfId="0" applyFont="1" applyFill="1" applyBorder="1" applyAlignment="1">
      <alignment horizontal="center" vertical="center"/>
    </xf>
    <xf numFmtId="0" fontId="52" fillId="24" borderId="19" xfId="0" applyFont="1" applyFill="1" applyBorder="1" applyAlignment="1">
      <alignment horizontal="center" vertical="center"/>
    </xf>
    <xf numFmtId="0" fontId="52" fillId="24" borderId="21" xfId="0" applyFont="1" applyFill="1" applyBorder="1" applyAlignment="1">
      <alignment horizontal="center" vertical="center"/>
    </xf>
    <xf numFmtId="0" fontId="52" fillId="24" borderId="13" xfId="0" applyFont="1" applyFill="1" applyBorder="1" applyAlignment="1">
      <alignment horizontal="center" vertical="center"/>
    </xf>
    <xf numFmtId="0" fontId="52" fillId="24" borderId="22" xfId="0" applyFont="1" applyFill="1" applyBorder="1" applyAlignment="1">
      <alignment horizontal="center" vertical="center"/>
    </xf>
    <xf numFmtId="0" fontId="52" fillId="25" borderId="22" xfId="0" applyFont="1" applyFill="1" applyBorder="1" applyAlignment="1">
      <alignment horizontal="center" vertical="center"/>
    </xf>
    <xf numFmtId="0" fontId="52" fillId="0" borderId="13" xfId="0" applyFont="1" applyBorder="1" applyAlignment="1">
      <alignment vertical="center"/>
    </xf>
    <xf numFmtId="0" fontId="52" fillId="0" borderId="18" xfId="0" applyFont="1" applyBorder="1" applyAlignment="1">
      <alignment vertical="center"/>
    </xf>
    <xf numFmtId="0" fontId="52" fillId="24" borderId="10" xfId="0" applyFont="1" applyFill="1" applyBorder="1" applyAlignment="1">
      <alignment horizontal="center" vertical="center"/>
    </xf>
    <xf numFmtId="0" fontId="52" fillId="24" borderId="11" xfId="0" applyFont="1" applyFill="1" applyBorder="1" applyAlignment="1">
      <alignment horizontal="center" vertical="center"/>
    </xf>
    <xf numFmtId="0" fontId="52" fillId="24" borderId="5" xfId="0" applyFont="1" applyFill="1" applyBorder="1" applyAlignment="1">
      <alignment horizontal="center" vertical="center"/>
    </xf>
    <xf numFmtId="0" fontId="52" fillId="25" borderId="12" xfId="0" applyFont="1" applyFill="1" applyBorder="1" applyAlignment="1">
      <alignment horizontal="center" vertical="center"/>
    </xf>
    <xf numFmtId="0" fontId="52" fillId="31" borderId="10" xfId="0" applyFont="1" applyFill="1" applyBorder="1" applyAlignment="1">
      <alignment horizontal="center" vertical="center"/>
    </xf>
    <xf numFmtId="0" fontId="52" fillId="31" borderId="11" xfId="0" applyFont="1" applyFill="1" applyBorder="1" applyAlignment="1">
      <alignment horizontal="center" vertical="center"/>
    </xf>
    <xf numFmtId="0" fontId="52" fillId="31" borderId="5" xfId="0" applyFont="1" applyFill="1" applyBorder="1" applyAlignment="1">
      <alignment horizontal="center" vertical="center"/>
    </xf>
    <xf numFmtId="0" fontId="52" fillId="25" borderId="14" xfId="0" applyFont="1" applyFill="1" applyBorder="1" applyAlignment="1">
      <alignment horizontal="center" vertical="center"/>
    </xf>
    <xf numFmtId="0" fontId="52" fillId="26" borderId="13" xfId="0" applyFont="1" applyFill="1" applyBorder="1" applyAlignment="1">
      <alignment horizontal="center" vertical="center"/>
    </xf>
    <xf numFmtId="0" fontId="52" fillId="26" borderId="22" xfId="0" applyFont="1" applyFill="1" applyBorder="1" applyAlignment="1">
      <alignment horizontal="center" vertical="center"/>
    </xf>
    <xf numFmtId="0" fontId="52" fillId="28" borderId="21" xfId="0" applyFont="1" applyFill="1" applyBorder="1" applyAlignment="1">
      <alignment horizontal="center" vertical="center"/>
    </xf>
    <xf numFmtId="0" fontId="52" fillId="28" borderId="13" xfId="0" applyFont="1" applyFill="1" applyBorder="1" applyAlignment="1">
      <alignment horizontal="center" vertical="center"/>
    </xf>
    <xf numFmtId="0" fontId="52" fillId="28" borderId="22" xfId="0" applyFont="1" applyFill="1" applyBorder="1" applyAlignment="1">
      <alignment horizontal="center" vertical="center"/>
    </xf>
    <xf numFmtId="0" fontId="52" fillId="25" borderId="15" xfId="0" applyFont="1" applyFill="1" applyBorder="1" applyAlignment="1">
      <alignment horizontal="center" vertical="center"/>
    </xf>
    <xf numFmtId="0" fontId="52" fillId="0" borderId="205" xfId="0" applyFont="1" applyBorder="1" applyAlignment="1">
      <alignment vertical="center"/>
    </xf>
    <xf numFmtId="0" fontId="52" fillId="0" borderId="19" xfId="0" applyFont="1" applyBorder="1" applyAlignment="1">
      <alignment vertical="center"/>
    </xf>
    <xf numFmtId="0" fontId="52" fillId="29" borderId="18" xfId="0" applyFont="1" applyFill="1" applyBorder="1" applyAlignment="1">
      <alignment horizontal="center" vertical="center"/>
    </xf>
    <xf numFmtId="0" fontId="52" fillId="29" borderId="104" xfId="0" applyFont="1" applyFill="1" applyBorder="1" applyAlignment="1">
      <alignment horizontal="center" vertical="center"/>
    </xf>
    <xf numFmtId="0" fontId="52" fillId="29" borderId="19" xfId="0" applyFont="1" applyFill="1" applyBorder="1" applyAlignment="1">
      <alignment horizontal="center" vertical="center"/>
    </xf>
    <xf numFmtId="0" fontId="52" fillId="29" borderId="17" xfId="0" applyFont="1" applyFill="1" applyBorder="1" applyAlignment="1">
      <alignment horizontal="center" vertical="center"/>
    </xf>
    <xf numFmtId="0" fontId="52" fillId="29" borderId="0" xfId="0" applyFont="1" applyFill="1" applyAlignment="1">
      <alignment horizontal="center" vertical="center"/>
    </xf>
    <xf numFmtId="0" fontId="52" fillId="29" borderId="20" xfId="0" applyFont="1" applyFill="1" applyBorder="1" applyAlignment="1">
      <alignment horizontal="center" vertical="center"/>
    </xf>
    <xf numFmtId="0" fontId="52" fillId="28" borderId="10" xfId="0" applyFont="1" applyFill="1" applyBorder="1" applyAlignment="1">
      <alignment horizontal="center" vertical="center"/>
    </xf>
    <xf numFmtId="0" fontId="52" fillId="28" borderId="11" xfId="0" applyFont="1" applyFill="1" applyBorder="1" applyAlignment="1">
      <alignment horizontal="center" vertical="center"/>
    </xf>
    <xf numFmtId="0" fontId="52" fillId="29" borderId="21" xfId="0" applyFont="1" applyFill="1" applyBorder="1" applyAlignment="1">
      <alignment horizontal="center" vertical="center"/>
    </xf>
    <xf numFmtId="0" fontId="52" fillId="29" borderId="13" xfId="0" applyFont="1" applyFill="1" applyBorder="1" applyAlignment="1">
      <alignment horizontal="center" vertical="center"/>
    </xf>
    <xf numFmtId="0" fontId="52" fillId="29" borderId="22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13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4" borderId="3" xfId="0" applyFont="1" applyFill="1" applyBorder="1" applyAlignment="1">
      <alignment horizontal="center" vertical="center"/>
    </xf>
    <xf numFmtId="0" fontId="52" fillId="22" borderId="10" xfId="0" applyFont="1" applyFill="1" applyBorder="1" applyAlignment="1">
      <alignment horizontal="center" vertical="center"/>
    </xf>
    <xf numFmtId="0" fontId="52" fillId="22" borderId="11" xfId="0" applyFont="1" applyFill="1" applyBorder="1" applyAlignment="1">
      <alignment horizontal="center" vertical="center"/>
    </xf>
    <xf numFmtId="0" fontId="52" fillId="22" borderId="5" xfId="0" applyFont="1" applyFill="1" applyBorder="1" applyAlignment="1">
      <alignment horizontal="center" vertical="center"/>
    </xf>
    <xf numFmtId="0" fontId="52" fillId="5" borderId="21" xfId="0" applyFont="1" applyFill="1" applyBorder="1" applyAlignment="1">
      <alignment horizontal="center" vertical="center"/>
    </xf>
    <xf numFmtId="0" fontId="52" fillId="0" borderId="21" xfId="0" applyFont="1" applyBorder="1" applyAlignment="1">
      <alignment vertical="center"/>
    </xf>
    <xf numFmtId="0" fontId="52" fillId="0" borderId="204" xfId="0" applyFont="1" applyBorder="1" applyAlignment="1">
      <alignment vertical="center"/>
    </xf>
    <xf numFmtId="0" fontId="52" fillId="0" borderId="22" xfId="0" applyFont="1" applyBorder="1" applyAlignment="1">
      <alignment vertical="center"/>
    </xf>
    <xf numFmtId="0" fontId="56" fillId="0" borderId="13" xfId="0" applyFont="1" applyBorder="1" applyAlignment="1">
      <alignment vertical="center"/>
    </xf>
    <xf numFmtId="0" fontId="57" fillId="0" borderId="10" xfId="0" applyFont="1" applyBorder="1" applyAlignment="1">
      <alignment horizontal="center" vertical="center"/>
    </xf>
    <xf numFmtId="0" fontId="57" fillId="0" borderId="11" xfId="0" applyFont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57" fillId="0" borderId="12" xfId="0" applyFont="1" applyBorder="1" applyAlignment="1">
      <alignment horizontal="center" vertical="center"/>
    </xf>
    <xf numFmtId="0" fontId="57" fillId="0" borderId="18" xfId="0" applyFont="1" applyBorder="1" applyAlignment="1">
      <alignment horizontal="center" vertical="center"/>
    </xf>
    <xf numFmtId="0" fontId="57" fillId="0" borderId="104" xfId="0" applyFont="1" applyBorder="1" applyAlignment="1">
      <alignment horizontal="center" vertical="center"/>
    </xf>
    <xf numFmtId="0" fontId="57" fillId="0" borderId="19" xfId="0" applyFont="1" applyBorder="1" applyAlignment="1">
      <alignment horizontal="center" vertical="center"/>
    </xf>
    <xf numFmtId="0" fontId="57" fillId="0" borderId="0" xfId="0" applyFont="1" applyAlignment="1">
      <alignment vertical="center"/>
    </xf>
    <xf numFmtId="0" fontId="58" fillId="17" borderId="3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51" fillId="37" borderId="21" xfId="0" applyFont="1" applyFill="1" applyBorder="1" applyAlignment="1">
      <alignment horizontal="center" vertical="center"/>
    </xf>
    <xf numFmtId="0" fontId="51" fillId="37" borderId="13" xfId="0" applyFont="1" applyFill="1" applyBorder="1" applyAlignment="1">
      <alignment horizontal="center" vertical="center"/>
    </xf>
    <xf numFmtId="0" fontId="51" fillId="31" borderId="21" xfId="0" applyFont="1" applyFill="1" applyBorder="1" applyAlignment="1">
      <alignment horizontal="center" vertical="center"/>
    </xf>
    <xf numFmtId="0" fontId="51" fillId="31" borderId="13" xfId="0" applyFont="1" applyFill="1" applyBorder="1" applyAlignment="1">
      <alignment horizontal="center" vertical="center"/>
    </xf>
    <xf numFmtId="0" fontId="51" fillId="38" borderId="21" xfId="0" applyFont="1" applyFill="1" applyBorder="1" applyAlignment="1">
      <alignment horizontal="center" vertical="center"/>
    </xf>
    <xf numFmtId="0" fontId="51" fillId="38" borderId="13" xfId="0" applyFont="1" applyFill="1" applyBorder="1" applyAlignment="1">
      <alignment horizontal="center" vertical="center"/>
    </xf>
    <xf numFmtId="0" fontId="51" fillId="39" borderId="21" xfId="0" applyFont="1" applyFill="1" applyBorder="1" applyAlignment="1">
      <alignment horizontal="center" vertical="center"/>
    </xf>
    <xf numFmtId="0" fontId="51" fillId="39" borderId="13" xfId="0" applyFont="1" applyFill="1" applyBorder="1" applyAlignment="1">
      <alignment horizontal="center" vertical="center"/>
    </xf>
    <xf numFmtId="0" fontId="51" fillId="40" borderId="21" xfId="0" applyFont="1" applyFill="1" applyBorder="1" applyAlignment="1">
      <alignment horizontal="center" vertical="center"/>
    </xf>
    <xf numFmtId="0" fontId="51" fillId="40" borderId="13" xfId="0" applyFont="1" applyFill="1" applyBorder="1" applyAlignment="1">
      <alignment horizontal="center" vertical="center"/>
    </xf>
    <xf numFmtId="0" fontId="51" fillId="6" borderId="21" xfId="0" applyFont="1" applyFill="1" applyBorder="1" applyAlignment="1">
      <alignment horizontal="center" vertical="center"/>
    </xf>
    <xf numFmtId="0" fontId="51" fillId="6" borderId="13" xfId="0" applyFont="1" applyFill="1" applyBorder="1" applyAlignment="1">
      <alignment horizontal="center" vertical="center"/>
    </xf>
    <xf numFmtId="0" fontId="51" fillId="6" borderId="22" xfId="0" applyFont="1" applyFill="1" applyBorder="1" applyAlignment="1">
      <alignment horizontal="center" vertical="center"/>
    </xf>
    <xf numFmtId="0" fontId="51" fillId="3" borderId="21" xfId="0" applyFont="1" applyFill="1" applyBorder="1" applyAlignment="1">
      <alignment horizontal="center" vertical="center"/>
    </xf>
    <xf numFmtId="0" fontId="51" fillId="3" borderId="13" xfId="0" applyFont="1" applyFill="1" applyBorder="1" applyAlignment="1">
      <alignment horizontal="center" vertical="center"/>
    </xf>
    <xf numFmtId="0" fontId="51" fillId="41" borderId="21" xfId="0" applyFont="1" applyFill="1" applyBorder="1" applyAlignment="1">
      <alignment horizontal="center" vertical="center"/>
    </xf>
    <xf numFmtId="0" fontId="51" fillId="41" borderId="13" xfId="0" applyFont="1" applyFill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0" fontId="52" fillId="36" borderId="14" xfId="0" applyFont="1" applyFill="1" applyBorder="1" applyAlignment="1">
      <alignment horizontal="center" vertical="center" wrapText="1"/>
    </xf>
    <xf numFmtId="0" fontId="52" fillId="36" borderId="15" xfId="0" applyFont="1" applyFill="1" applyBorder="1" applyAlignment="1">
      <alignment horizontal="center" vertical="center" wrapText="1"/>
    </xf>
  </cellXfs>
  <cellStyles count="11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1"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A19" workbookViewId="0">
      <selection activeCell="J27" sqref="J27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19" t="s">
        <v>126</v>
      </c>
      <c r="F3" s="920"/>
      <c r="G3" s="920"/>
      <c r="H3" s="920"/>
      <c r="I3" s="920"/>
      <c r="J3" s="920"/>
      <c r="K3" s="920"/>
      <c r="L3" s="920"/>
    </row>
    <row r="6" spans="5:13" x14ac:dyDescent="0.25">
      <c r="E6" s="921" t="s">
        <v>325</v>
      </c>
      <c r="F6" s="921"/>
      <c r="G6" s="921"/>
      <c r="H6" s="921"/>
      <c r="I6" s="921"/>
    </row>
    <row r="7" spans="5:13" x14ac:dyDescent="0.25">
      <c r="E7" s="921"/>
      <c r="F7" s="921"/>
      <c r="G7" s="921"/>
      <c r="H7" s="921"/>
      <c r="I7" s="921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922" t="s">
        <v>251</v>
      </c>
      <c r="F9" s="922"/>
      <c r="G9" s="922"/>
      <c r="H9" s="922"/>
      <c r="I9" s="36"/>
      <c r="K9" s="923" t="s">
        <v>484</v>
      </c>
      <c r="M9" s="636" t="s">
        <v>360</v>
      </c>
    </row>
    <row r="10" spans="5:13" x14ac:dyDescent="0.25">
      <c r="E10" s="922" t="s">
        <v>127</v>
      </c>
      <c r="F10" s="922"/>
      <c r="G10" s="922"/>
      <c r="H10" s="922"/>
      <c r="I10" s="36"/>
      <c r="K10" s="923"/>
      <c r="M10" s="599" t="s">
        <v>373</v>
      </c>
    </row>
    <row r="11" spans="5:13" x14ac:dyDescent="0.25">
      <c r="E11" s="922" t="s">
        <v>252</v>
      </c>
      <c r="F11" s="922"/>
      <c r="G11" s="922"/>
      <c r="H11" s="922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923" t="s">
        <v>482</v>
      </c>
      <c r="M12" s="599" t="s">
        <v>361</v>
      </c>
    </row>
    <row r="13" spans="5:13" x14ac:dyDescent="0.25">
      <c r="K13" s="923"/>
      <c r="M13" s="599" t="s">
        <v>408</v>
      </c>
    </row>
    <row r="14" spans="5:13" x14ac:dyDescent="0.25">
      <c r="E14" s="925" t="s">
        <v>333</v>
      </c>
      <c r="F14" s="925"/>
      <c r="G14" s="925"/>
      <c r="H14" s="925"/>
      <c r="I14" s="925"/>
      <c r="K14" s="923"/>
      <c r="M14" s="600" t="s">
        <v>359</v>
      </c>
    </row>
    <row r="15" spans="5:13" x14ac:dyDescent="0.25">
      <c r="E15" s="925"/>
      <c r="F15" s="925"/>
      <c r="G15" s="925"/>
      <c r="H15" s="925"/>
      <c r="I15" s="925"/>
    </row>
    <row r="16" spans="5:13" x14ac:dyDescent="0.25">
      <c r="E16" s="925"/>
      <c r="F16" s="925"/>
      <c r="G16" s="925"/>
      <c r="H16" s="925"/>
      <c r="I16" s="925"/>
      <c r="K16" s="926" t="s">
        <v>332</v>
      </c>
      <c r="M16" s="123" t="s">
        <v>472</v>
      </c>
    </row>
    <row r="17" spans="5:21" x14ac:dyDescent="0.25">
      <c r="K17" s="927"/>
      <c r="M17" s="719" t="s">
        <v>473</v>
      </c>
    </row>
    <row r="18" spans="5:21" x14ac:dyDescent="0.25">
      <c r="E18" s="924" t="s">
        <v>588</v>
      </c>
      <c r="F18" s="924"/>
      <c r="G18" s="924"/>
      <c r="M18" s="928" t="s">
        <v>474</v>
      </c>
    </row>
    <row r="19" spans="5:21" ht="40.5" customHeight="1" x14ac:dyDescent="0.25">
      <c r="E19" s="924" t="s">
        <v>587</v>
      </c>
      <c r="F19" s="924"/>
      <c r="G19" s="924"/>
      <c r="M19" s="928"/>
    </row>
    <row r="20" spans="5:21" ht="36" customHeight="1" x14ac:dyDescent="0.25">
      <c r="E20" s="923" t="s">
        <v>483</v>
      </c>
      <c r="F20" s="923"/>
      <c r="G20" s="923"/>
      <c r="M20" s="719" t="s">
        <v>485</v>
      </c>
    </row>
    <row r="21" spans="5:21" ht="32.25" customHeight="1" x14ac:dyDescent="0.25">
      <c r="E21" s="923" t="s">
        <v>589</v>
      </c>
      <c r="F21" s="923"/>
      <c r="G21" s="923"/>
      <c r="M21" s="162" t="s">
        <v>486</v>
      </c>
    </row>
    <row r="22" spans="5:21" x14ac:dyDescent="0.25">
      <c r="E22" s="925" t="s">
        <v>628</v>
      </c>
      <c r="F22" s="925"/>
      <c r="G22" s="925"/>
      <c r="M22" s="719" t="s">
        <v>487</v>
      </c>
    </row>
    <row r="23" spans="5:21" ht="22.5" customHeight="1" x14ac:dyDescent="0.25">
      <c r="N23" s="877"/>
      <c r="O23" s="878" t="s">
        <v>535</v>
      </c>
      <c r="P23" s="878" t="s">
        <v>536</v>
      </c>
      <c r="Q23" s="878" t="s">
        <v>537</v>
      </c>
      <c r="R23" s="878" t="s">
        <v>538</v>
      </c>
      <c r="S23" s="878" t="s">
        <v>539</v>
      </c>
      <c r="T23" s="878" t="s">
        <v>540</v>
      </c>
      <c r="U23" s="878" t="s">
        <v>541</v>
      </c>
    </row>
    <row r="24" spans="5:21" ht="50.1" customHeight="1" x14ac:dyDescent="0.25">
      <c r="N24" s="879" t="s">
        <v>542</v>
      </c>
      <c r="O24" s="880" t="s">
        <v>548</v>
      </c>
      <c r="P24" s="907" t="s">
        <v>554</v>
      </c>
      <c r="Q24" s="881" t="s">
        <v>552</v>
      </c>
      <c r="R24" s="911" t="s">
        <v>551</v>
      </c>
      <c r="S24" s="907" t="s">
        <v>554</v>
      </c>
      <c r="T24" s="917" t="s">
        <v>553</v>
      </c>
      <c r="U24" s="914" t="s">
        <v>550</v>
      </c>
    </row>
    <row r="25" spans="5:21" ht="50.1" customHeight="1" x14ac:dyDescent="0.25">
      <c r="N25" s="879" t="s">
        <v>543</v>
      </c>
      <c r="O25" s="882" t="s">
        <v>551</v>
      </c>
      <c r="P25" s="908"/>
      <c r="Q25" s="886" t="s">
        <v>554</v>
      </c>
      <c r="R25" s="912"/>
      <c r="S25" s="908"/>
      <c r="T25" s="918"/>
      <c r="U25" s="915"/>
    </row>
    <row r="26" spans="5:21" ht="16.5" customHeight="1" x14ac:dyDescent="0.25">
      <c r="N26" s="879" t="s">
        <v>544</v>
      </c>
      <c r="O26" s="883" t="s">
        <v>549</v>
      </c>
      <c r="P26" s="883" t="s">
        <v>549</v>
      </c>
      <c r="Q26" s="883" t="s">
        <v>549</v>
      </c>
      <c r="R26" s="883" t="s">
        <v>549</v>
      </c>
      <c r="S26" s="883" t="s">
        <v>549</v>
      </c>
      <c r="T26" s="914" t="s">
        <v>550</v>
      </c>
      <c r="U26" s="915"/>
    </row>
    <row r="27" spans="5:21" ht="50.1" customHeight="1" x14ac:dyDescent="0.25">
      <c r="N27" s="879" t="s">
        <v>545</v>
      </c>
      <c r="O27" s="882" t="s">
        <v>551</v>
      </c>
      <c r="P27" s="882" t="s">
        <v>551</v>
      </c>
      <c r="Q27" s="882" t="s">
        <v>551</v>
      </c>
      <c r="R27" s="911" t="s">
        <v>551</v>
      </c>
      <c r="S27" s="882" t="s">
        <v>551</v>
      </c>
      <c r="T27" s="915"/>
      <c r="U27" s="915"/>
    </row>
    <row r="28" spans="5:21" ht="50.1" customHeight="1" x14ac:dyDescent="0.25">
      <c r="N28" s="879" t="s">
        <v>546</v>
      </c>
      <c r="O28" s="884" t="s">
        <v>457</v>
      </c>
      <c r="P28" s="909" t="s">
        <v>555</v>
      </c>
      <c r="Q28" s="917" t="s">
        <v>553</v>
      </c>
      <c r="R28" s="913"/>
      <c r="S28" s="917" t="s">
        <v>553</v>
      </c>
      <c r="T28" s="915"/>
      <c r="U28" s="915"/>
    </row>
    <row r="29" spans="5:21" ht="24.75" customHeight="1" x14ac:dyDescent="0.25">
      <c r="N29" s="879" t="s">
        <v>547</v>
      </c>
      <c r="O29" s="885"/>
      <c r="P29" s="910"/>
      <c r="Q29" s="918"/>
      <c r="R29" s="885"/>
      <c r="S29" s="918"/>
      <c r="T29" s="916"/>
      <c r="U29" s="916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29" t="s">
        <v>327</v>
      </c>
      <c r="I2" s="929"/>
      <c r="J2" s="929"/>
      <c r="K2" s="929"/>
      <c r="L2" s="929"/>
    </row>
    <row r="3" spans="8:12" x14ac:dyDescent="0.25">
      <c r="H3" s="929"/>
      <c r="I3" s="929"/>
      <c r="J3" s="929"/>
      <c r="K3" s="929"/>
      <c r="L3" s="929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30" t="s">
        <v>1</v>
      </c>
      <c r="C3" s="930"/>
      <c r="D3" s="930"/>
      <c r="E3" s="930"/>
      <c r="F3" s="930"/>
      <c r="G3" s="931" t="s">
        <v>2</v>
      </c>
      <c r="H3" s="932"/>
      <c r="I3" s="932"/>
      <c r="J3" s="933"/>
      <c r="K3" s="931" t="s">
        <v>3</v>
      </c>
      <c r="L3" s="932"/>
      <c r="M3" s="932"/>
      <c r="N3" s="933"/>
      <c r="O3" s="931" t="s">
        <v>4</v>
      </c>
      <c r="P3" s="932"/>
      <c r="Q3" s="932"/>
      <c r="R3" s="932"/>
      <c r="S3" s="933"/>
      <c r="T3" s="931" t="s">
        <v>5</v>
      </c>
      <c r="U3" s="932"/>
      <c r="V3" s="932"/>
      <c r="W3" s="933"/>
      <c r="X3" s="931" t="s">
        <v>6</v>
      </c>
      <c r="Y3" s="932"/>
      <c r="Z3" s="932"/>
      <c r="AA3" s="932"/>
      <c r="AB3" s="933"/>
      <c r="AC3" s="931" t="s">
        <v>7</v>
      </c>
      <c r="AD3" s="932"/>
      <c r="AE3" s="932"/>
      <c r="AF3" s="933"/>
      <c r="AG3" s="931" t="s">
        <v>8</v>
      </c>
      <c r="AH3" s="932"/>
      <c r="AI3" s="932"/>
      <c r="AJ3" s="933"/>
      <c r="AK3" s="930" t="s">
        <v>9</v>
      </c>
      <c r="AL3" s="930"/>
      <c r="AM3" s="930"/>
      <c r="AN3" s="930"/>
      <c r="AO3" s="930" t="s">
        <v>10</v>
      </c>
      <c r="AP3" s="930"/>
      <c r="AQ3" s="930"/>
      <c r="AR3" s="930"/>
      <c r="AS3" s="930"/>
      <c r="AT3" s="930" t="s">
        <v>11</v>
      </c>
      <c r="AU3" s="930"/>
      <c r="AV3" s="930"/>
      <c r="AW3" s="930"/>
      <c r="AX3" s="931" t="s">
        <v>12</v>
      </c>
      <c r="AY3" s="932"/>
      <c r="AZ3" s="932"/>
      <c r="BA3" s="933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0" priority="1" operator="equal">
      <formula>"C"</formula>
    </cfRule>
    <cfRule type="cellIs" dxfId="18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D2" sqref="D2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35" t="s">
        <v>132</v>
      </c>
      <c r="J1" s="936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1357"/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937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938" t="s">
        <v>328</v>
      </c>
      <c r="Q53" s="939"/>
      <c r="R53" s="939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937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938"/>
      <c r="Q54" s="939"/>
      <c r="R54" s="939"/>
    </row>
    <row r="55" spans="1:41" ht="88.15" customHeight="1" x14ac:dyDescent="0.25">
      <c r="A55" s="937"/>
      <c r="C55" s="144" t="s">
        <v>247</v>
      </c>
      <c r="D55" s="145">
        <f>D53*parametre!$F$2*(parametre!$F$3+0.6)</f>
        <v>11555.999999999998</v>
      </c>
      <c r="F55" s="144" t="s">
        <v>256</v>
      </c>
      <c r="G55" s="145">
        <f>G53*parametre!$F$2*(parametre!$F$3+0.6)</f>
        <v>8370</v>
      </c>
      <c r="I55" s="144" t="s">
        <v>260</v>
      </c>
      <c r="J55" s="145">
        <f>J53*parametre!$F$2*(parametre!$F$3+0.6)</f>
        <v>3185.9999999999995</v>
      </c>
      <c r="L55" s="144" t="s">
        <v>267</v>
      </c>
      <c r="M55" s="143">
        <f>SUM(AK5:AK51)</f>
        <v>19</v>
      </c>
      <c r="P55" s="938"/>
      <c r="Q55" s="939"/>
      <c r="R55" s="939"/>
      <c r="T55" s="144" t="s">
        <v>567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40" t="s">
        <v>273</v>
      </c>
      <c r="D57" s="941"/>
      <c r="E57" s="941"/>
      <c r="F57" s="942"/>
      <c r="G57" s="554">
        <f>G53+J53</f>
        <v>214</v>
      </c>
      <c r="H57" s="554">
        <f>SUM(W5:W51)</f>
        <v>214</v>
      </c>
      <c r="L57" s="934" t="s">
        <v>274</v>
      </c>
      <c r="M57" s="934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8" priority="1">
      <formula>$B1="Astéracées (Composées)"</formula>
    </cfRule>
    <cfRule type="expression" dxfId="187" priority="2">
      <formula>$B1="Convolvulaceae"</formula>
    </cfRule>
    <cfRule type="expression" dxfId="186" priority="3">
      <formula>$B1="Valérianacées"</formula>
    </cfRule>
    <cfRule type="expression" dxfId="185" priority="4">
      <formula>$B1="Fabacées (Légumineuses)"</formula>
    </cfRule>
    <cfRule type="expression" dxfId="184" priority="5">
      <formula>$B1="Cucurbitacées"</formula>
    </cfRule>
    <cfRule type="expression" dxfId="183" priority="6">
      <formula>$B1="Brassicacées (Crucifères)"</formula>
    </cfRule>
    <cfRule type="expression" dxfId="182" priority="7">
      <formula>$B1="Apiacées (Ombellifères)"</formula>
    </cfRule>
    <cfRule type="expression" dxfId="181" priority="8">
      <formula>$B1="Amaranthacées (ex-Chénopodiacées)"</formula>
    </cfRule>
    <cfRule type="expression" dxfId="180" priority="9">
      <formula>$B1="Solanacées"</formula>
    </cfRule>
    <cfRule type="expression" dxfId="17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49" t="s">
        <v>1</v>
      </c>
      <c r="C2" s="949"/>
      <c r="D2" s="949"/>
      <c r="E2" s="949"/>
      <c r="F2" s="949"/>
      <c r="G2" s="946" t="s">
        <v>2</v>
      </c>
      <c r="H2" s="947"/>
      <c r="I2" s="947"/>
      <c r="J2" s="948"/>
      <c r="K2" s="946" t="s">
        <v>3</v>
      </c>
      <c r="L2" s="947"/>
      <c r="M2" s="947"/>
      <c r="N2" s="948"/>
      <c r="O2" s="946" t="s">
        <v>4</v>
      </c>
      <c r="P2" s="947"/>
      <c r="Q2" s="947"/>
      <c r="R2" s="947"/>
      <c r="S2" s="948"/>
      <c r="T2" s="946" t="s">
        <v>5</v>
      </c>
      <c r="U2" s="947"/>
      <c r="V2" s="947"/>
      <c r="W2" s="948"/>
      <c r="X2" s="946" t="s">
        <v>6</v>
      </c>
      <c r="Y2" s="947"/>
      <c r="Z2" s="947"/>
      <c r="AA2" s="947"/>
      <c r="AB2" s="948"/>
      <c r="AC2" s="946" t="s">
        <v>7</v>
      </c>
      <c r="AD2" s="947"/>
      <c r="AE2" s="947"/>
      <c r="AF2" s="948"/>
      <c r="AG2" s="946" t="s">
        <v>8</v>
      </c>
      <c r="AH2" s="947"/>
      <c r="AI2" s="947"/>
      <c r="AJ2" s="948"/>
      <c r="AK2" s="949" t="s">
        <v>9</v>
      </c>
      <c r="AL2" s="949"/>
      <c r="AM2" s="949"/>
      <c r="AN2" s="949"/>
      <c r="AO2" s="949" t="s">
        <v>10</v>
      </c>
      <c r="AP2" s="949"/>
      <c r="AQ2" s="949"/>
      <c r="AR2" s="949"/>
      <c r="AS2" s="949"/>
      <c r="AT2" s="949" t="s">
        <v>11</v>
      </c>
      <c r="AU2" s="949"/>
      <c r="AV2" s="949"/>
      <c r="AW2" s="949"/>
      <c r="AX2" s="946" t="s">
        <v>12</v>
      </c>
      <c r="AY2" s="947"/>
      <c r="AZ2" s="947"/>
      <c r="BA2" s="948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43"/>
      <c r="C17" s="944"/>
      <c r="D17" s="944"/>
      <c r="E17" s="945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43" t="s">
        <v>324</v>
      </c>
      <c r="C18" s="944"/>
      <c r="D18" s="944"/>
      <c r="E18" s="945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43"/>
      <c r="C19" s="944"/>
      <c r="D19" s="944"/>
      <c r="E19" s="945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50" t="s">
        <v>346</v>
      </c>
      <c r="O2" s="951"/>
      <c r="P2" s="952"/>
      <c r="Q2" s="614">
        <v>10</v>
      </c>
      <c r="S2" s="950" t="s">
        <v>336</v>
      </c>
      <c r="T2" s="951"/>
      <c r="U2" s="951"/>
      <c r="V2" s="952"/>
      <c r="W2" s="614">
        <v>8</v>
      </c>
      <c r="Y2" s="950" t="s">
        <v>389</v>
      </c>
      <c r="Z2" s="951"/>
      <c r="AA2" s="951"/>
      <c r="AB2" s="614">
        <v>20</v>
      </c>
      <c r="AE2" s="950" t="s">
        <v>371</v>
      </c>
      <c r="AF2" s="951"/>
      <c r="AG2" s="951"/>
      <c r="AH2" s="614">
        <v>45</v>
      </c>
      <c r="AI2" s="620"/>
      <c r="AJ2" s="950" t="s">
        <v>399</v>
      </c>
      <c r="AK2" s="951"/>
      <c r="AL2" s="952"/>
      <c r="AM2" s="614">
        <v>8</v>
      </c>
    </row>
    <row r="3" spans="1:69" ht="33.75" customHeight="1" x14ac:dyDescent="0.25">
      <c r="A3" s="20" t="s">
        <v>76</v>
      </c>
      <c r="N3" s="950" t="s">
        <v>347</v>
      </c>
      <c r="O3" s="951"/>
      <c r="P3" s="952"/>
      <c r="Q3" s="614">
        <v>8</v>
      </c>
      <c r="S3" s="950" t="s">
        <v>335</v>
      </c>
      <c r="T3" s="951"/>
      <c r="U3" s="951"/>
      <c r="V3" s="952"/>
      <c r="W3" s="614">
        <v>20</v>
      </c>
      <c r="Y3" s="950" t="s">
        <v>368</v>
      </c>
      <c r="Z3" s="951"/>
      <c r="AA3" s="951"/>
      <c r="AB3" s="614">
        <v>8</v>
      </c>
      <c r="AE3" s="950" t="s">
        <v>353</v>
      </c>
      <c r="AF3" s="951"/>
      <c r="AG3" s="952"/>
      <c r="AH3" s="614">
        <v>120</v>
      </c>
      <c r="AI3" s="620"/>
      <c r="AJ3" s="950" t="s">
        <v>354</v>
      </c>
      <c r="AK3" s="951"/>
      <c r="AL3" s="952"/>
      <c r="AM3" s="614">
        <v>30</v>
      </c>
    </row>
    <row r="4" spans="1:69" ht="32.25" customHeight="1" x14ac:dyDescent="0.25">
      <c r="N4" s="950" t="s">
        <v>348</v>
      </c>
      <c r="O4" s="951"/>
      <c r="P4" s="952"/>
      <c r="Q4" s="614">
        <v>10</v>
      </c>
      <c r="S4" s="950" t="s">
        <v>340</v>
      </c>
      <c r="T4" s="951"/>
      <c r="U4" s="951"/>
      <c r="V4" s="952"/>
      <c r="W4" s="614">
        <v>15</v>
      </c>
      <c r="Y4" s="950" t="s">
        <v>398</v>
      </c>
      <c r="Z4" s="951"/>
      <c r="AA4" s="951"/>
      <c r="AB4" s="614">
        <v>12</v>
      </c>
      <c r="AE4" s="950" t="s">
        <v>342</v>
      </c>
      <c r="AF4" s="951"/>
      <c r="AG4" s="952"/>
      <c r="AH4" s="614">
        <v>20</v>
      </c>
      <c r="AI4" s="62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525</v>
      </c>
      <c r="BM6" s="769" t="s">
        <v>526</v>
      </c>
      <c r="BN6" s="764" t="s">
        <v>532</v>
      </c>
      <c r="BO6" s="751" t="s">
        <v>524</v>
      </c>
      <c r="BP6" s="751" t="s">
        <v>527</v>
      </c>
      <c r="BQ6" s="774" t="s">
        <v>533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25">
      <c r="A55" s="736" t="s">
        <v>529</v>
      </c>
      <c r="B55" s="737">
        <f>SUM($AZ$7:$AZ$53)</f>
        <v>2278</v>
      </c>
    </row>
    <row r="57" spans="1:69" x14ac:dyDescent="0.25">
      <c r="A57" s="736" t="s">
        <v>491</v>
      </c>
      <c r="B57" s="679">
        <f>SUMPRODUCT((ISTEXT(A7:A53)&gt;0)/COUNTIF(A7:A53,A7:A53))</f>
        <v>47</v>
      </c>
    </row>
    <row r="59" spans="1:69" x14ac:dyDescent="0.25">
      <c r="A59" s="736" t="s">
        <v>528</v>
      </c>
      <c r="B59" s="737">
        <f>tps_de_travail_tot!BF5</f>
        <v>1925</v>
      </c>
      <c r="M59"/>
      <c r="AC59" s="627"/>
      <c r="AD59" s="629"/>
    </row>
    <row r="60" spans="1:69" x14ac:dyDescent="0.25">
      <c r="O60" s="640"/>
      <c r="P60" s="29"/>
      <c r="Q60" s="640"/>
      <c r="R60" s="29"/>
      <c r="S60" s="640"/>
    </row>
    <row r="61" spans="1:69" x14ac:dyDescent="0.25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25">
      <c r="O62" s="640"/>
      <c r="P62" s="29"/>
      <c r="Q62" s="640"/>
      <c r="R62" s="29"/>
      <c r="S62" s="640"/>
    </row>
    <row r="63" spans="1:69" x14ac:dyDescent="0.25">
      <c r="O63" s="640"/>
      <c r="P63" s="29"/>
      <c r="Q63" s="640"/>
      <c r="R63" s="29"/>
      <c r="S63" s="640"/>
    </row>
    <row r="64" spans="1:69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511</v>
      </c>
      <c r="B65" s="26" t="s">
        <v>576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78" priority="5">
      <formula>$B2="Astéracées (Composées)"</formula>
    </cfRule>
    <cfRule type="expression" dxfId="177" priority="6">
      <formula>$B2="Convolvulaceae"</formula>
    </cfRule>
    <cfRule type="expression" dxfId="176" priority="7">
      <formula>$B2="Valérianacées"</formula>
    </cfRule>
    <cfRule type="expression" dxfId="175" priority="8">
      <formula>$B2="Fabacées (Légumineuses)"</formula>
    </cfRule>
    <cfRule type="expression" dxfId="174" priority="9">
      <formula>$B2="Cucurbitacées"</formula>
    </cfRule>
    <cfRule type="expression" dxfId="173" priority="10">
      <formula>$B2="Brassicacées (Crucifères)"</formula>
    </cfRule>
    <cfRule type="expression" dxfId="172" priority="11">
      <formula>$B2="Apiacées (Ombellifères)"</formula>
    </cfRule>
    <cfRule type="expression" dxfId="171" priority="12">
      <formula>$B2="Amaranthacées (ex-Chénopodiacées)"</formula>
    </cfRule>
    <cfRule type="expression" dxfId="170" priority="13">
      <formula>$B2="Solanacées"</formula>
    </cfRule>
    <cfRule type="expression" dxfId="169" priority="14">
      <formula>$B2="Alliacées"</formula>
    </cfRule>
  </conditionalFormatting>
  <conditionalFormatting sqref="C7:BQ53">
    <cfRule type="expression" dxfId="168" priority="4">
      <formula>ISEVEN(ROW())</formula>
    </cfRule>
  </conditionalFormatting>
  <conditionalFormatting sqref="AJ3">
    <cfRule type="expression" dxfId="167" priority="153">
      <formula>$AJ3="Astéracées (Composées)"</formula>
    </cfRule>
    <cfRule type="expression" dxfId="166" priority="154">
      <formula>$AJ3="Convolvulaceae"</formula>
    </cfRule>
    <cfRule type="expression" dxfId="165" priority="155">
      <formula>$AJ3="Valérianacées"</formula>
    </cfRule>
    <cfRule type="expression" dxfId="164" priority="156">
      <formula>$AJ3="Fabacées (Légumineuses)"</formula>
    </cfRule>
    <cfRule type="expression" dxfId="163" priority="157">
      <formula>$AJ3="Cucurbitacées"</formula>
    </cfRule>
    <cfRule type="expression" dxfId="162" priority="158">
      <formula>$AJ3="Brassicacées (Crucifères)"</formula>
    </cfRule>
    <cfRule type="expression" dxfId="161" priority="159">
      <formula>$AJ3="Apiacées (Ombellifères)"</formula>
    </cfRule>
    <cfRule type="expression" dxfId="160" priority="160">
      <formula>$AJ3="Amaranthacées (ex-Chénopodiacées)"</formula>
    </cfRule>
    <cfRule type="expression" dxfId="159" priority="161">
      <formula>$AJ3="Solanacées"</formula>
    </cfRule>
    <cfRule type="expression" dxfId="158" priority="162">
      <formula>$AJ3="Alliacées"</formula>
    </cfRule>
  </conditionalFormatting>
  <conditionalFormatting sqref="A66:B112">
    <cfRule type="expression" dxfId="15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A37" sqref="A37:XFD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53" t="s">
        <v>431</v>
      </c>
      <c r="E2" s="953"/>
      <c r="F2" s="953"/>
      <c r="G2" s="953"/>
      <c r="H2" s="953"/>
      <c r="I2" s="953"/>
      <c r="J2" s="953"/>
      <c r="K2" s="953"/>
      <c r="L2" s="953"/>
      <c r="M2" s="953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930" t="s">
        <v>1</v>
      </c>
      <c r="P3" s="930"/>
      <c r="Q3" s="930"/>
      <c r="R3" s="930"/>
      <c r="S3" s="930"/>
      <c r="T3" s="931" t="s">
        <v>2</v>
      </c>
      <c r="U3" s="932"/>
      <c r="V3" s="932"/>
      <c r="W3" s="933"/>
      <c r="X3" s="931" t="s">
        <v>3</v>
      </c>
      <c r="Y3" s="932"/>
      <c r="Z3" s="932"/>
      <c r="AA3" s="933"/>
      <c r="AB3" s="931" t="s">
        <v>4</v>
      </c>
      <c r="AC3" s="932"/>
      <c r="AD3" s="932"/>
      <c r="AE3" s="932"/>
      <c r="AF3" s="933"/>
      <c r="AG3" s="931" t="s">
        <v>5</v>
      </c>
      <c r="AH3" s="932"/>
      <c r="AI3" s="932"/>
      <c r="AJ3" s="933"/>
      <c r="AK3" s="931" t="s">
        <v>6</v>
      </c>
      <c r="AL3" s="932"/>
      <c r="AM3" s="932"/>
      <c r="AN3" s="932"/>
      <c r="AO3" s="933"/>
      <c r="AP3" s="931" t="s">
        <v>7</v>
      </c>
      <c r="AQ3" s="932"/>
      <c r="AR3" s="932"/>
      <c r="AS3" s="933"/>
      <c r="AT3" s="931" t="s">
        <v>8</v>
      </c>
      <c r="AU3" s="932"/>
      <c r="AV3" s="932"/>
      <c r="AW3" s="933"/>
      <c r="AX3" s="930" t="s">
        <v>9</v>
      </c>
      <c r="AY3" s="930"/>
      <c r="AZ3" s="930"/>
      <c r="BA3" s="930"/>
      <c r="BB3" s="930" t="s">
        <v>10</v>
      </c>
      <c r="BC3" s="930"/>
      <c r="BD3" s="930"/>
      <c r="BE3" s="930"/>
      <c r="BF3" s="930"/>
      <c r="BG3" s="930" t="s">
        <v>11</v>
      </c>
      <c r="BH3" s="930"/>
      <c r="BI3" s="930"/>
      <c r="BJ3" s="930"/>
      <c r="BK3" s="931" t="s">
        <v>12</v>
      </c>
      <c r="BL3" s="932"/>
      <c r="BM3" s="932"/>
      <c r="BN3" s="933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534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954" t="s">
        <v>453</v>
      </c>
      <c r="L53" s="954"/>
      <c r="M53" s="954"/>
      <c r="N53" s="954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56" priority="6">
      <formula>ISEVEN(ROW())</formula>
    </cfRule>
  </conditionalFormatting>
  <conditionalFormatting sqref="O5:BN51">
    <cfRule type="cellIs" dxfId="15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4" activePane="bottomRight" state="frozen"/>
      <selection pane="topRight" activeCell="C1" sqref="C1"/>
      <selection pane="bottomLeft" activeCell="A4" sqref="A4"/>
      <selection pane="bottomRight" activeCell="BD24" sqref="BD24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930" t="s">
        <v>1</v>
      </c>
      <c r="E2" s="930"/>
      <c r="F2" s="930"/>
      <c r="G2" s="930"/>
      <c r="H2" s="930"/>
      <c r="I2" s="931" t="s">
        <v>2</v>
      </c>
      <c r="J2" s="932"/>
      <c r="K2" s="932"/>
      <c r="L2" s="933"/>
      <c r="M2" s="931" t="s">
        <v>3</v>
      </c>
      <c r="N2" s="932"/>
      <c r="O2" s="932"/>
      <c r="P2" s="933"/>
      <c r="Q2" s="931" t="s">
        <v>4</v>
      </c>
      <c r="R2" s="932"/>
      <c r="S2" s="932"/>
      <c r="T2" s="932"/>
      <c r="U2" s="933"/>
      <c r="V2" s="931" t="s">
        <v>5</v>
      </c>
      <c r="W2" s="932"/>
      <c r="X2" s="932"/>
      <c r="Y2" s="933"/>
      <c r="Z2" s="931" t="s">
        <v>6</v>
      </c>
      <c r="AA2" s="932"/>
      <c r="AB2" s="932"/>
      <c r="AC2" s="932"/>
      <c r="AD2" s="933"/>
      <c r="AE2" s="931" t="s">
        <v>7</v>
      </c>
      <c r="AF2" s="932"/>
      <c r="AG2" s="932"/>
      <c r="AH2" s="933"/>
      <c r="AI2" s="931" t="s">
        <v>8</v>
      </c>
      <c r="AJ2" s="932"/>
      <c r="AK2" s="932"/>
      <c r="AL2" s="933"/>
      <c r="AM2" s="930" t="s">
        <v>9</v>
      </c>
      <c r="AN2" s="930"/>
      <c r="AO2" s="930"/>
      <c r="AP2" s="930"/>
      <c r="AQ2" s="930" t="s">
        <v>10</v>
      </c>
      <c r="AR2" s="930"/>
      <c r="AS2" s="930"/>
      <c r="AT2" s="930"/>
      <c r="AU2" s="930"/>
      <c r="AV2" s="930" t="s">
        <v>11</v>
      </c>
      <c r="AW2" s="930"/>
      <c r="AX2" s="930"/>
      <c r="AY2" s="930"/>
      <c r="AZ2" s="931" t="s">
        <v>12</v>
      </c>
      <c r="BA2" s="932"/>
      <c r="BB2" s="932"/>
      <c r="BC2" s="933"/>
      <c r="BD2" s="955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955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530</v>
      </c>
      <c r="BG4" s="735" t="s">
        <v>531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956" t="s">
        <v>479</v>
      </c>
      <c r="B22" s="957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958"/>
      <c r="B23" s="959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958"/>
      <c r="B24" s="959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25">
      <c r="A25" s="958"/>
      <c r="B25" s="959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958"/>
      <c r="B26" s="959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958"/>
      <c r="B27" s="959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25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25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25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54" priority="30">
      <formula>ISEVEN(ROW())</formula>
    </cfRule>
  </conditionalFormatting>
  <conditionalFormatting sqref="D18:BC20">
    <cfRule type="expression" dxfId="153" priority="29">
      <formula>ISEVEN(ROW())</formula>
    </cfRule>
  </conditionalFormatting>
  <conditionalFormatting sqref="C27">
    <cfRule type="expression" dxfId="152" priority="27">
      <formula>ISEVEN(ROW())</formula>
    </cfRule>
  </conditionalFormatting>
  <conditionalFormatting sqref="D23">
    <cfRule type="expression" dxfId="151" priority="26">
      <formula>ISEVEN(ROW())</formula>
    </cfRule>
  </conditionalFormatting>
  <conditionalFormatting sqref="Q23">
    <cfRule type="expression" dxfId="150" priority="25">
      <formula>ISEVEN(ROW())</formula>
    </cfRule>
  </conditionalFormatting>
  <conditionalFormatting sqref="Z23">
    <cfRule type="expression" dxfId="149" priority="24">
      <formula>ISEVEN(ROW())</formula>
    </cfRule>
  </conditionalFormatting>
  <conditionalFormatting sqref="AQ23">
    <cfRule type="expression" dxfId="148" priority="23">
      <formula>ISEVEN(ROW())</formula>
    </cfRule>
  </conditionalFormatting>
  <conditionalFormatting sqref="I23">
    <cfRule type="expression" dxfId="147" priority="22">
      <formula>ISEVEN(ROW())</formula>
    </cfRule>
  </conditionalFormatting>
  <conditionalFormatting sqref="M23">
    <cfRule type="expression" dxfId="146" priority="21">
      <formula>ISEVEN(ROW())</formula>
    </cfRule>
  </conditionalFormatting>
  <conditionalFormatting sqref="V23">
    <cfRule type="expression" dxfId="145" priority="20">
      <formula>ISEVEN(ROW())</formula>
    </cfRule>
  </conditionalFormatting>
  <conditionalFormatting sqref="AE23">
    <cfRule type="expression" dxfId="144" priority="19">
      <formula>ISEVEN(ROW())</formula>
    </cfRule>
  </conditionalFormatting>
  <conditionalFormatting sqref="AI23">
    <cfRule type="expression" dxfId="143" priority="18">
      <formula>ISEVEN(ROW())</formula>
    </cfRule>
  </conditionalFormatting>
  <conditionalFormatting sqref="AM23">
    <cfRule type="expression" dxfId="142" priority="17">
      <formula>ISEVEN(ROW())</formula>
    </cfRule>
  </conditionalFormatting>
  <conditionalFormatting sqref="AV23">
    <cfRule type="expression" dxfId="141" priority="16">
      <formula>ISEVEN(ROW())</formula>
    </cfRule>
  </conditionalFormatting>
  <conditionalFormatting sqref="AZ23">
    <cfRule type="expression" dxfId="140" priority="15">
      <formula>ISEVEN(ROW())</formula>
    </cfRule>
  </conditionalFormatting>
  <conditionalFormatting sqref="D26">
    <cfRule type="expression" dxfId="139" priority="13">
      <formula>ISEVEN(ROW())</formula>
    </cfRule>
  </conditionalFormatting>
  <conditionalFormatting sqref="I26">
    <cfRule type="expression" dxfId="138" priority="12">
      <formula>ISEVEN(ROW())</formula>
    </cfRule>
  </conditionalFormatting>
  <conditionalFormatting sqref="M26">
    <cfRule type="expression" dxfId="137" priority="11">
      <formula>ISEVEN(ROW())</formula>
    </cfRule>
  </conditionalFormatting>
  <conditionalFormatting sqref="Q26">
    <cfRule type="expression" dxfId="136" priority="10">
      <formula>ISEVEN(ROW())</formula>
    </cfRule>
  </conditionalFormatting>
  <conditionalFormatting sqref="V26">
    <cfRule type="expression" dxfId="135" priority="9">
      <formula>ISEVEN(ROW())</formula>
    </cfRule>
  </conditionalFormatting>
  <conditionalFormatting sqref="Z26">
    <cfRule type="expression" dxfId="134" priority="8">
      <formula>ISEVEN(ROW())</formula>
    </cfRule>
  </conditionalFormatting>
  <conditionalFormatting sqref="AE26">
    <cfRule type="expression" dxfId="133" priority="6">
      <formula>ISEVEN(ROW())</formula>
    </cfRule>
  </conditionalFormatting>
  <conditionalFormatting sqref="AI26">
    <cfRule type="expression" dxfId="132" priority="5">
      <formula>ISEVEN(ROW())</formula>
    </cfRule>
  </conditionalFormatting>
  <conditionalFormatting sqref="AM26">
    <cfRule type="expression" dxfId="131" priority="4">
      <formula>ISEVEN(ROW())</formula>
    </cfRule>
  </conditionalFormatting>
  <conditionalFormatting sqref="AV26">
    <cfRule type="expression" dxfId="130" priority="3">
      <formula>ISEVEN(ROW())</formula>
    </cfRule>
  </conditionalFormatting>
  <conditionalFormatting sqref="AZ26">
    <cfRule type="expression" dxfId="129" priority="2">
      <formula>ISEVEN(ROW())</formula>
    </cfRule>
  </conditionalFormatting>
  <conditionalFormatting sqref="AQ26">
    <cfRule type="expression" dxfId="12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35" t="s">
        <v>132</v>
      </c>
      <c r="F3" s="936"/>
      <c r="G3" s="172"/>
      <c r="H3" s="172"/>
      <c r="I3" s="172"/>
      <c r="J3" s="172"/>
      <c r="K3" s="172"/>
      <c r="L3" s="172"/>
      <c r="M3" s="172"/>
      <c r="N3" s="172"/>
      <c r="O3" s="199"/>
      <c r="P3" s="962" t="s">
        <v>207</v>
      </c>
      <c r="Q3" s="963"/>
      <c r="R3" s="963"/>
      <c r="S3" s="964"/>
      <c r="T3" s="960">
        <v>2025</v>
      </c>
      <c r="U3" s="960"/>
      <c r="V3" s="960"/>
      <c r="W3" s="960"/>
      <c r="X3" s="960"/>
      <c r="Y3" s="960"/>
      <c r="Z3" s="960"/>
      <c r="AA3" s="960"/>
      <c r="AB3" s="960"/>
      <c r="AC3" s="960"/>
      <c r="AD3" s="960"/>
      <c r="AE3" s="960"/>
      <c r="AF3" s="960"/>
      <c r="AG3" s="960"/>
      <c r="AH3" s="960"/>
      <c r="AI3" s="960"/>
      <c r="AJ3" s="960"/>
      <c r="AK3" s="960"/>
      <c r="AL3" s="960"/>
      <c r="AM3" s="960"/>
      <c r="AN3" s="960"/>
      <c r="AO3" s="960"/>
      <c r="AP3" s="960"/>
      <c r="AQ3" s="960"/>
      <c r="AR3" s="960"/>
      <c r="AS3" s="960"/>
      <c r="AT3" s="960"/>
      <c r="AU3" s="960"/>
      <c r="AV3" s="960"/>
      <c r="AW3" s="960"/>
      <c r="AX3" s="960"/>
      <c r="AY3" s="960"/>
      <c r="AZ3" s="960"/>
      <c r="BA3" s="960"/>
      <c r="BB3" s="960"/>
      <c r="BC3" s="960"/>
      <c r="BD3" s="960"/>
      <c r="BE3" s="960"/>
      <c r="BF3" s="960"/>
      <c r="BG3" s="960"/>
      <c r="BH3" s="960"/>
      <c r="BI3" s="960"/>
      <c r="BJ3" s="960"/>
      <c r="BK3" s="960"/>
      <c r="BL3" s="960"/>
      <c r="BM3" s="960"/>
      <c r="BN3" s="960"/>
      <c r="BO3" s="960"/>
      <c r="BP3" s="960"/>
      <c r="BQ3" s="960"/>
      <c r="BR3" s="960"/>
      <c r="BS3" s="960"/>
      <c r="BT3" s="965">
        <v>2026</v>
      </c>
      <c r="BU3" s="965"/>
      <c r="BV3" s="965"/>
      <c r="BW3" s="965"/>
      <c r="BX3" s="965"/>
      <c r="BY3" s="965"/>
      <c r="BZ3" s="965"/>
      <c r="CA3" s="965"/>
      <c r="CB3" s="965"/>
      <c r="CC3" s="965"/>
      <c r="CD3" s="965"/>
      <c r="CE3" s="965"/>
      <c r="CF3" s="965"/>
      <c r="CG3" s="965"/>
      <c r="CH3" s="965"/>
      <c r="CI3" s="965"/>
      <c r="CJ3" s="965"/>
      <c r="CK3" s="965"/>
      <c r="CL3" s="965"/>
      <c r="CM3" s="965"/>
      <c r="CN3" s="965"/>
      <c r="CO3" s="965"/>
      <c r="CP3" s="965"/>
      <c r="CQ3" s="965"/>
      <c r="CR3" s="965"/>
      <c r="CS3" s="965"/>
      <c r="CT3" s="965"/>
      <c r="CU3" s="965"/>
      <c r="CV3" s="965"/>
      <c r="CW3" s="965"/>
      <c r="CX3" s="965"/>
      <c r="CY3" s="965"/>
      <c r="CZ3" s="965"/>
      <c r="DA3" s="965"/>
      <c r="DB3" s="965"/>
      <c r="DC3" s="965"/>
      <c r="DD3" s="965"/>
      <c r="DE3" s="965"/>
      <c r="DF3" s="965"/>
      <c r="DG3" s="965"/>
      <c r="DH3" s="965"/>
      <c r="DI3" s="965"/>
      <c r="DJ3" s="965"/>
      <c r="DK3" s="965"/>
      <c r="DL3" s="965"/>
      <c r="DM3" s="965"/>
      <c r="DN3" s="965"/>
      <c r="DO3" s="965"/>
      <c r="DP3" s="965"/>
      <c r="DQ3" s="965"/>
      <c r="DR3" s="965"/>
      <c r="DS3" s="965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31" t="s">
        <v>12</v>
      </c>
      <c r="Q4" s="932"/>
      <c r="R4" s="932"/>
      <c r="S4" s="961"/>
      <c r="T4" s="933" t="s">
        <v>1</v>
      </c>
      <c r="U4" s="930"/>
      <c r="V4" s="930"/>
      <c r="W4" s="930"/>
      <c r="X4" s="930"/>
      <c r="Y4" s="931" t="s">
        <v>2</v>
      </c>
      <c r="Z4" s="932"/>
      <c r="AA4" s="932"/>
      <c r="AB4" s="933"/>
      <c r="AC4" s="931" t="s">
        <v>3</v>
      </c>
      <c r="AD4" s="932"/>
      <c r="AE4" s="932"/>
      <c r="AF4" s="933"/>
      <c r="AG4" s="931" t="s">
        <v>4</v>
      </c>
      <c r="AH4" s="932"/>
      <c r="AI4" s="932"/>
      <c r="AJ4" s="932"/>
      <c r="AK4" s="933"/>
      <c r="AL4" s="931" t="s">
        <v>5</v>
      </c>
      <c r="AM4" s="932"/>
      <c r="AN4" s="932"/>
      <c r="AO4" s="933"/>
      <c r="AP4" s="931" t="s">
        <v>6</v>
      </c>
      <c r="AQ4" s="932"/>
      <c r="AR4" s="932"/>
      <c r="AS4" s="932"/>
      <c r="AT4" s="933"/>
      <c r="AU4" s="931" t="s">
        <v>7</v>
      </c>
      <c r="AV4" s="932"/>
      <c r="AW4" s="932"/>
      <c r="AX4" s="933"/>
      <c r="AY4" s="931" t="s">
        <v>8</v>
      </c>
      <c r="AZ4" s="932"/>
      <c r="BA4" s="932"/>
      <c r="BB4" s="933"/>
      <c r="BC4" s="930" t="s">
        <v>9</v>
      </c>
      <c r="BD4" s="930"/>
      <c r="BE4" s="930"/>
      <c r="BF4" s="930"/>
      <c r="BG4" s="930" t="s">
        <v>10</v>
      </c>
      <c r="BH4" s="930"/>
      <c r="BI4" s="930"/>
      <c r="BJ4" s="930"/>
      <c r="BK4" s="930"/>
      <c r="BL4" s="930" t="s">
        <v>11</v>
      </c>
      <c r="BM4" s="930"/>
      <c r="BN4" s="930"/>
      <c r="BO4" s="930"/>
      <c r="BP4" s="931" t="s">
        <v>12</v>
      </c>
      <c r="BQ4" s="932"/>
      <c r="BR4" s="932"/>
      <c r="BS4" s="933"/>
      <c r="BT4" s="933" t="s">
        <v>1</v>
      </c>
      <c r="BU4" s="930"/>
      <c r="BV4" s="930"/>
      <c r="BW4" s="930"/>
      <c r="BX4" s="930"/>
      <c r="BY4" s="931" t="s">
        <v>2</v>
      </c>
      <c r="BZ4" s="932"/>
      <c r="CA4" s="932"/>
      <c r="CB4" s="933"/>
      <c r="CC4" s="931" t="s">
        <v>3</v>
      </c>
      <c r="CD4" s="932"/>
      <c r="CE4" s="932"/>
      <c r="CF4" s="933"/>
      <c r="CG4" s="931" t="s">
        <v>4</v>
      </c>
      <c r="CH4" s="932"/>
      <c r="CI4" s="932"/>
      <c r="CJ4" s="932"/>
      <c r="CK4" s="933"/>
      <c r="CL4" s="931" t="s">
        <v>5</v>
      </c>
      <c r="CM4" s="932"/>
      <c r="CN4" s="932"/>
      <c r="CO4" s="933"/>
      <c r="CP4" s="931" t="s">
        <v>6</v>
      </c>
      <c r="CQ4" s="932"/>
      <c r="CR4" s="932"/>
      <c r="CS4" s="932"/>
      <c r="CT4" s="933"/>
      <c r="CU4" s="931" t="s">
        <v>7</v>
      </c>
      <c r="CV4" s="932"/>
      <c r="CW4" s="932"/>
      <c r="CX4" s="933"/>
      <c r="CY4" s="931" t="s">
        <v>8</v>
      </c>
      <c r="CZ4" s="932"/>
      <c r="DA4" s="932"/>
      <c r="DB4" s="933"/>
      <c r="DC4" s="930" t="s">
        <v>9</v>
      </c>
      <c r="DD4" s="930"/>
      <c r="DE4" s="930"/>
      <c r="DF4" s="930"/>
      <c r="DG4" s="930" t="s">
        <v>10</v>
      </c>
      <c r="DH4" s="930"/>
      <c r="DI4" s="930"/>
      <c r="DJ4" s="930"/>
      <c r="DK4" s="930"/>
      <c r="DL4" s="930" t="s">
        <v>11</v>
      </c>
      <c r="DM4" s="930"/>
      <c r="DN4" s="930"/>
      <c r="DO4" s="930"/>
      <c r="DP4" s="931" t="s">
        <v>12</v>
      </c>
      <c r="DQ4" s="932"/>
      <c r="DR4" s="932"/>
      <c r="DS4" s="933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27" priority="77" operator="equal">
      <formula>"C"</formula>
    </cfRule>
    <cfRule type="cellIs" dxfId="126" priority="78" operator="equal">
      <formula>"R"</formula>
    </cfRule>
  </conditionalFormatting>
  <conditionalFormatting sqref="AU6:BS6 CU6:DS6 T7:DS7">
    <cfRule type="cellIs" dxfId="125" priority="75" operator="equal">
      <formula>"C"</formula>
    </cfRule>
    <cfRule type="cellIs" dxfId="124" priority="76" operator="equal">
      <formula>"R"</formula>
    </cfRule>
  </conditionalFormatting>
  <conditionalFormatting sqref="T8:BS10">
    <cfRule type="cellIs" dxfId="123" priority="73" operator="equal">
      <formula>"C"</formula>
    </cfRule>
    <cfRule type="cellIs" dxfId="122" priority="74" operator="equal">
      <formula>"R"</formula>
    </cfRule>
  </conditionalFormatting>
  <conditionalFormatting sqref="CT11:DS11 DG12:DS13 CW14:DS19 BG12:CQ13 AW14:CM19 AT11:CH11 P12:AQ13 P14:AM19 P11:AH11 P6:DS10 P20:DS41">
    <cfRule type="cellIs" dxfId="121" priority="58" operator="equal">
      <formula>"S"</formula>
    </cfRule>
  </conditionalFormatting>
  <conditionalFormatting sqref="B6:F6">
    <cfRule type="cellIs" dxfId="120" priority="70" operator="equal">
      <formula>"C"</formula>
    </cfRule>
    <cfRule type="cellIs" dxfId="119" priority="71" operator="equal">
      <formula>"R"</formula>
    </cfRule>
  </conditionalFormatting>
  <conditionalFormatting sqref="AO12:AO13">
    <cfRule type="cellIs" dxfId="118" priority="68" operator="equal">
      <formula>"C"</formula>
    </cfRule>
    <cfRule type="cellIs" dxfId="117" priority="69" operator="equal">
      <formula>"R"</formula>
    </cfRule>
  </conditionalFormatting>
  <conditionalFormatting sqref="AO12:AO13">
    <cfRule type="cellIs" dxfId="116" priority="66" operator="equal">
      <formula>"C"</formula>
    </cfRule>
    <cfRule type="cellIs" dxfId="115" priority="67" operator="equal">
      <formula>"R"</formula>
    </cfRule>
  </conditionalFormatting>
  <conditionalFormatting sqref="AA1:AB1">
    <cfRule type="cellIs" dxfId="114" priority="64" operator="equal">
      <formula>"C"</formula>
    </cfRule>
    <cfRule type="cellIs" dxfId="11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12" priority="63" operator="equal">
      <formula>"P"</formula>
    </cfRule>
  </conditionalFormatting>
  <conditionalFormatting sqref="AA1:AB1">
    <cfRule type="cellIs" dxfId="111" priority="61" operator="equal">
      <formula>"C"</formula>
    </cfRule>
    <cfRule type="cellIs" dxfId="110" priority="62" operator="equal">
      <formula>"R"</formula>
    </cfRule>
  </conditionalFormatting>
  <conditionalFormatting sqref="AA1:AB1">
    <cfRule type="cellIs" dxfId="109" priority="59" operator="equal">
      <formula>"C"</formula>
    </cfRule>
    <cfRule type="cellIs" dxfId="108" priority="60" operator="equal">
      <formula>"R"</formula>
    </cfRule>
  </conditionalFormatting>
  <conditionalFormatting sqref="AI12:AQ12">
    <cfRule type="cellIs" dxfId="107" priority="56" operator="equal">
      <formula>"C"</formula>
    </cfRule>
    <cfRule type="cellIs" dxfId="106" priority="57" operator="equal">
      <formula>"R"</formula>
    </cfRule>
  </conditionalFormatting>
  <conditionalFormatting sqref="AI11:AS11">
    <cfRule type="cellIs" dxfId="105" priority="54" operator="equal">
      <formula>"C"</formula>
    </cfRule>
    <cfRule type="cellIs" dxfId="104" priority="55" operator="equal">
      <formula>"R"</formula>
    </cfRule>
  </conditionalFormatting>
  <conditionalFormatting sqref="AW14:BS19 CW14:DT19 DV14:XFD19">
    <cfRule type="cellIs" dxfId="103" priority="72" operator="equal">
      <formula>"P"</formula>
    </cfRule>
  </conditionalFormatting>
  <conditionalFormatting sqref="AR12:BF12">
    <cfRule type="cellIs" dxfId="102" priority="52" operator="equal">
      <formula>"C"</formula>
    </cfRule>
    <cfRule type="cellIs" dxfId="101" priority="53" operator="equal">
      <formula>"R"</formula>
    </cfRule>
  </conditionalFormatting>
  <conditionalFormatting sqref="AR13:BF13">
    <cfRule type="cellIs" dxfId="100" priority="50" operator="equal">
      <formula>"C"</formula>
    </cfRule>
    <cfRule type="cellIs" dxfId="99" priority="51" operator="equal">
      <formula>"R"</formula>
    </cfRule>
  </conditionalFormatting>
  <conditionalFormatting sqref="AN14:AV14 AN17:AV17 AN15:AS15 AQ16:AV16 AN19:AU19 AN18:AT18">
    <cfRule type="cellIs" dxfId="98" priority="48" operator="equal">
      <formula>"C"</formula>
    </cfRule>
    <cfRule type="cellIs" dxfId="97" priority="49" operator="equal">
      <formula>"R"</formula>
    </cfRule>
  </conditionalFormatting>
  <conditionalFormatting sqref="BT8:DS10">
    <cfRule type="cellIs" dxfId="96" priority="46" operator="equal">
      <formula>"C"</formula>
    </cfRule>
    <cfRule type="cellIs" dxfId="95" priority="47" operator="equal">
      <formula>"R"</formula>
    </cfRule>
  </conditionalFormatting>
  <conditionalFormatting sqref="CO12:CO13">
    <cfRule type="cellIs" dxfId="94" priority="44" operator="equal">
      <formula>"C"</formula>
    </cfRule>
    <cfRule type="cellIs" dxfId="93" priority="45" operator="equal">
      <formula>"R"</formula>
    </cfRule>
  </conditionalFormatting>
  <conditionalFormatting sqref="CO12:CO13">
    <cfRule type="cellIs" dxfId="92" priority="42" operator="equal">
      <formula>"C"</formula>
    </cfRule>
    <cfRule type="cellIs" dxfId="91" priority="43" operator="equal">
      <formula>"R"</formula>
    </cfRule>
  </conditionalFormatting>
  <conditionalFormatting sqref="CI12:CQ12">
    <cfRule type="cellIs" dxfId="90" priority="40" operator="equal">
      <formula>"C"</formula>
    </cfRule>
    <cfRule type="cellIs" dxfId="89" priority="41" operator="equal">
      <formula>"R"</formula>
    </cfRule>
  </conditionalFormatting>
  <conditionalFormatting sqref="CI11:CS11">
    <cfRule type="cellIs" dxfId="88" priority="38" operator="equal">
      <formula>"C"</formula>
    </cfRule>
    <cfRule type="cellIs" dxfId="87" priority="39" operator="equal">
      <formula>"R"</formula>
    </cfRule>
  </conditionalFormatting>
  <conditionalFormatting sqref="CR12:DF12">
    <cfRule type="cellIs" dxfId="86" priority="36" operator="equal">
      <formula>"C"</formula>
    </cfRule>
    <cfRule type="cellIs" dxfId="85" priority="37" operator="equal">
      <formula>"R"</formula>
    </cfRule>
  </conditionalFormatting>
  <conditionalFormatting sqref="CR13:DF13">
    <cfRule type="cellIs" dxfId="84" priority="34" operator="equal">
      <formula>"C"</formula>
    </cfRule>
    <cfRule type="cellIs" dxfId="83" priority="35" operator="equal">
      <formula>"R"</formula>
    </cfRule>
  </conditionalFormatting>
  <conditionalFormatting sqref="CN14:CV19">
    <cfRule type="cellIs" dxfId="82" priority="32" operator="equal">
      <formula>"C"</formula>
    </cfRule>
    <cfRule type="cellIs" dxfId="81" priority="33" operator="equal">
      <formula>"R"</formula>
    </cfRule>
  </conditionalFormatting>
  <conditionalFormatting sqref="AU15:AV15">
    <cfRule type="cellIs" dxfId="80" priority="30" operator="equal">
      <formula>"C"</formula>
    </cfRule>
    <cfRule type="cellIs" dxfId="79" priority="31" operator="equal">
      <formula>"R"</formula>
    </cfRule>
  </conditionalFormatting>
  <conditionalFormatting sqref="AU15:AV15">
    <cfRule type="cellIs" dxfId="78" priority="28" operator="equal">
      <formula>"S"</formula>
    </cfRule>
  </conditionalFormatting>
  <conditionalFormatting sqref="AU15:AV15">
    <cfRule type="cellIs" dxfId="77" priority="29" operator="equal">
      <formula>"P"</formula>
    </cfRule>
  </conditionalFormatting>
  <conditionalFormatting sqref="AT15">
    <cfRule type="cellIs" dxfId="76" priority="26" operator="equal">
      <formula>"C"</formula>
    </cfRule>
    <cfRule type="cellIs" dxfId="75" priority="27" operator="equal">
      <formula>"R"</formula>
    </cfRule>
  </conditionalFormatting>
  <conditionalFormatting sqref="AT15">
    <cfRule type="cellIs" dxfId="74" priority="24" operator="equal">
      <formula>"S"</formula>
    </cfRule>
  </conditionalFormatting>
  <conditionalFormatting sqref="AT15">
    <cfRule type="cellIs" dxfId="73" priority="25" operator="equal">
      <formula>"P"</formula>
    </cfRule>
  </conditionalFormatting>
  <conditionalFormatting sqref="AN16:AO16">
    <cfRule type="cellIs" dxfId="72" priority="22" operator="equal">
      <formula>"C"</formula>
    </cfRule>
    <cfRule type="cellIs" dxfId="71" priority="23" operator="equal">
      <formula>"R"</formula>
    </cfRule>
  </conditionalFormatting>
  <conditionalFormatting sqref="AN16:AO16">
    <cfRule type="cellIs" dxfId="70" priority="16" operator="equal">
      <formula>"S"</formula>
    </cfRule>
  </conditionalFormatting>
  <conditionalFormatting sqref="AO16">
    <cfRule type="cellIs" dxfId="69" priority="20" operator="equal">
      <formula>"C"</formula>
    </cfRule>
    <cfRule type="cellIs" dxfId="68" priority="21" operator="equal">
      <formula>"R"</formula>
    </cfRule>
  </conditionalFormatting>
  <conditionalFormatting sqref="AO16">
    <cfRule type="cellIs" dxfId="67" priority="18" operator="equal">
      <formula>"C"</formula>
    </cfRule>
    <cfRule type="cellIs" dxfId="66" priority="19" operator="equal">
      <formula>"R"</formula>
    </cfRule>
  </conditionalFormatting>
  <conditionalFormatting sqref="AN16:AO16">
    <cfRule type="cellIs" dxfId="65" priority="17" operator="equal">
      <formula>"P"</formula>
    </cfRule>
  </conditionalFormatting>
  <conditionalFormatting sqref="AN16:AO16">
    <cfRule type="cellIs" dxfId="64" priority="14" operator="equal">
      <formula>"C"</formula>
    </cfRule>
    <cfRule type="cellIs" dxfId="63" priority="15" operator="equal">
      <formula>"R"</formula>
    </cfRule>
  </conditionalFormatting>
  <conditionalFormatting sqref="AP16">
    <cfRule type="cellIs" dxfId="62" priority="12" operator="equal">
      <formula>"C"</formula>
    </cfRule>
    <cfRule type="cellIs" dxfId="61" priority="13" operator="equal">
      <formula>"R"</formula>
    </cfRule>
  </conditionalFormatting>
  <conditionalFormatting sqref="AP16">
    <cfRule type="cellIs" dxfId="60" priority="10" operator="equal">
      <formula>"S"</formula>
    </cfRule>
  </conditionalFormatting>
  <conditionalFormatting sqref="AP16">
    <cfRule type="cellIs" dxfId="59" priority="11" operator="equal">
      <formula>"P"</formula>
    </cfRule>
  </conditionalFormatting>
  <conditionalFormatting sqref="AV18:AV19">
    <cfRule type="cellIs" dxfId="58" priority="8" operator="equal">
      <formula>"C"</formula>
    </cfRule>
    <cfRule type="cellIs" dxfId="57" priority="9" operator="equal">
      <formula>"R"</formula>
    </cfRule>
  </conditionalFormatting>
  <conditionalFormatting sqref="AV18:AV19">
    <cfRule type="cellIs" dxfId="56" priority="6" operator="equal">
      <formula>"S"</formula>
    </cfRule>
  </conditionalFormatting>
  <conditionalFormatting sqref="AV18:AV19">
    <cfRule type="cellIs" dxfId="55" priority="7" operator="equal">
      <formula>"P"</formula>
    </cfRule>
  </conditionalFormatting>
  <conditionalFormatting sqref="AU18">
    <cfRule type="cellIs" dxfId="54" priority="4" operator="equal">
      <formula>"C"</formula>
    </cfRule>
    <cfRule type="cellIs" dxfId="53" priority="5" operator="equal">
      <formula>"R"</formula>
    </cfRule>
  </conditionalFormatting>
  <conditionalFormatting sqref="AU18">
    <cfRule type="cellIs" dxfId="52" priority="2" operator="equal">
      <formula>"S"</formula>
    </cfRule>
  </conditionalFormatting>
  <conditionalFormatting sqref="AU18">
    <cfRule type="cellIs" dxfId="51" priority="3" operator="equal">
      <formula>"P"</formula>
    </cfRule>
  </conditionalFormatting>
  <conditionalFormatting sqref="A43:XFD45">
    <cfRule type="cellIs" dxfId="5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1364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1360"/>
      <c r="D2" s="982" t="s">
        <v>242</v>
      </c>
      <c r="E2" s="982"/>
      <c r="F2" s="982"/>
      <c r="G2" s="982"/>
      <c r="H2" s="1108">
        <v>2025</v>
      </c>
      <c r="I2" s="1109"/>
      <c r="J2" s="1109"/>
      <c r="K2" s="1109"/>
      <c r="L2" s="1109"/>
      <c r="M2" s="1109"/>
      <c r="N2" s="1109"/>
      <c r="O2" s="1109"/>
      <c r="P2" s="1109"/>
      <c r="Q2" s="1109"/>
      <c r="R2" s="1109"/>
      <c r="S2" s="1109"/>
      <c r="T2" s="1109"/>
      <c r="U2" s="1109"/>
      <c r="V2" s="1109"/>
      <c r="W2" s="1109"/>
      <c r="X2" s="1109"/>
      <c r="Y2" s="1109"/>
      <c r="Z2" s="1109"/>
      <c r="AA2" s="1109"/>
      <c r="AB2" s="1109"/>
      <c r="AC2" s="1109"/>
      <c r="AD2" s="1109"/>
      <c r="AE2" s="1109"/>
      <c r="AF2" s="1109"/>
      <c r="AG2" s="1109"/>
      <c r="AH2" s="1109"/>
      <c r="AI2" s="1109"/>
      <c r="AJ2" s="1109"/>
      <c r="AK2" s="1109"/>
      <c r="AL2" s="1109"/>
      <c r="AM2" s="1109"/>
      <c r="AN2" s="1109"/>
      <c r="AO2" s="1109"/>
      <c r="AP2" s="1109"/>
      <c r="AQ2" s="1109"/>
      <c r="AR2" s="1109"/>
      <c r="AS2" s="1109"/>
      <c r="AT2" s="1109"/>
      <c r="AU2" s="1109"/>
      <c r="AV2" s="1109"/>
      <c r="AW2" s="1109"/>
      <c r="AX2" s="1109"/>
      <c r="AY2" s="1109"/>
      <c r="AZ2" s="1109"/>
      <c r="BA2" s="1109"/>
      <c r="BB2" s="1109"/>
      <c r="BC2" s="1109"/>
      <c r="BD2" s="1109"/>
      <c r="BE2" s="1109"/>
      <c r="BF2" s="1109"/>
      <c r="BG2" s="1110"/>
      <c r="BH2" s="976">
        <v>2026</v>
      </c>
      <c r="BI2" s="977"/>
      <c r="BJ2" s="977"/>
      <c r="BK2" s="977"/>
      <c r="BL2" s="977"/>
      <c r="BM2" s="977"/>
      <c r="BN2" s="977"/>
      <c r="BO2" s="977"/>
      <c r="BP2" s="977"/>
      <c r="BQ2" s="977"/>
      <c r="BR2" s="977"/>
      <c r="BS2" s="977"/>
      <c r="BT2" s="977"/>
      <c r="BU2" s="977"/>
      <c r="BV2" s="977"/>
      <c r="BW2" s="977"/>
      <c r="BX2" s="977"/>
      <c r="BY2" s="977"/>
      <c r="BZ2" s="977"/>
      <c r="CA2" s="977"/>
      <c r="CB2" s="977"/>
      <c r="CC2" s="977"/>
      <c r="CD2" s="977"/>
      <c r="CE2" s="977"/>
      <c r="CF2" s="977"/>
      <c r="CG2" s="977"/>
      <c r="CH2" s="977"/>
      <c r="CI2" s="977"/>
      <c r="CJ2" s="977"/>
      <c r="CK2" s="977"/>
      <c r="CL2" s="977"/>
      <c r="CM2" s="977"/>
      <c r="CN2" s="977"/>
      <c r="CO2" s="977"/>
      <c r="CP2" s="977"/>
      <c r="CQ2" s="977"/>
      <c r="CR2" s="977"/>
      <c r="CS2" s="977"/>
      <c r="CT2" s="977"/>
      <c r="CU2" s="977"/>
      <c r="CV2" s="977"/>
      <c r="CW2" s="977"/>
      <c r="CX2" s="977"/>
      <c r="CY2" s="977"/>
      <c r="CZ2" s="977"/>
      <c r="DA2" s="977"/>
      <c r="DB2" s="977"/>
      <c r="DC2" s="977"/>
      <c r="DD2" s="977"/>
      <c r="DE2" s="977"/>
      <c r="DF2" s="977"/>
      <c r="DG2" s="977"/>
      <c r="DH2" s="1105">
        <v>2027</v>
      </c>
      <c r="DI2" s="1106"/>
      <c r="DJ2" s="1106"/>
      <c r="DK2" s="1106"/>
      <c r="DL2" s="1106"/>
      <c r="DM2" s="1106"/>
      <c r="DN2" s="1106"/>
      <c r="DO2" s="1106"/>
      <c r="DP2" s="1106"/>
      <c r="DQ2" s="1106"/>
      <c r="DR2" s="1106"/>
      <c r="DS2" s="1106"/>
      <c r="DT2" s="1106"/>
      <c r="DU2" s="1106"/>
      <c r="DV2" s="1106"/>
      <c r="DW2" s="1106"/>
      <c r="DX2" s="1106"/>
      <c r="DY2" s="1106"/>
      <c r="DZ2" s="1106"/>
      <c r="EA2" s="1106"/>
      <c r="EB2" s="1106"/>
      <c r="EC2" s="1106"/>
      <c r="ED2" s="1106"/>
      <c r="EE2" s="1106"/>
      <c r="EF2" s="1106"/>
      <c r="EG2" s="1106"/>
      <c r="EH2" s="1106"/>
      <c r="EI2" s="1106"/>
      <c r="EJ2" s="1106"/>
      <c r="EK2" s="1106"/>
      <c r="EL2" s="1106"/>
      <c r="EM2" s="1106"/>
      <c r="EN2" s="1106"/>
      <c r="EO2" s="1106"/>
      <c r="EP2" s="1106"/>
      <c r="EQ2" s="1106"/>
      <c r="ER2" s="1106"/>
      <c r="ES2" s="1106"/>
      <c r="ET2" s="1106"/>
      <c r="EU2" s="1106"/>
      <c r="EV2" s="1106"/>
      <c r="EW2" s="1106"/>
      <c r="EX2" s="1106"/>
      <c r="EY2" s="1106"/>
      <c r="EZ2" s="1106"/>
      <c r="FA2" s="1106"/>
      <c r="FB2" s="1106"/>
      <c r="FC2" s="1106"/>
      <c r="FD2" s="1106"/>
      <c r="FE2" s="1106"/>
      <c r="FF2" s="1106"/>
      <c r="FG2" s="1106"/>
    </row>
    <row r="3" spans="1:163" s="359" customFormat="1" ht="32.450000000000003" customHeight="1" x14ac:dyDescent="0.25">
      <c r="A3" s="359" t="s">
        <v>241</v>
      </c>
      <c r="B3" s="785"/>
      <c r="C3" s="580"/>
      <c r="D3" s="966" t="s">
        <v>12</v>
      </c>
      <c r="E3" s="967"/>
      <c r="F3" s="967"/>
      <c r="G3" s="968"/>
      <c r="H3" s="969" t="s">
        <v>1</v>
      </c>
      <c r="I3" s="969"/>
      <c r="J3" s="969"/>
      <c r="K3" s="969"/>
      <c r="L3" s="969"/>
      <c r="M3" s="970" t="s">
        <v>2</v>
      </c>
      <c r="N3" s="971"/>
      <c r="O3" s="971"/>
      <c r="P3" s="972"/>
      <c r="Q3" s="970" t="s">
        <v>3</v>
      </c>
      <c r="R3" s="971"/>
      <c r="S3" s="971"/>
      <c r="T3" s="972"/>
      <c r="U3" s="970" t="s">
        <v>4</v>
      </c>
      <c r="V3" s="971"/>
      <c r="W3" s="971"/>
      <c r="X3" s="971"/>
      <c r="Y3" s="972"/>
      <c r="Z3" s="970" t="s">
        <v>5</v>
      </c>
      <c r="AA3" s="971"/>
      <c r="AB3" s="971"/>
      <c r="AC3" s="972"/>
      <c r="AD3" s="970" t="s">
        <v>6</v>
      </c>
      <c r="AE3" s="971"/>
      <c r="AF3" s="971"/>
      <c r="AG3" s="971"/>
      <c r="AH3" s="972"/>
      <c r="AI3" s="970" t="s">
        <v>7</v>
      </c>
      <c r="AJ3" s="971"/>
      <c r="AK3" s="971"/>
      <c r="AL3" s="972"/>
      <c r="AM3" s="970" t="s">
        <v>8</v>
      </c>
      <c r="AN3" s="971"/>
      <c r="AO3" s="971"/>
      <c r="AP3" s="972"/>
      <c r="AQ3" s="969" t="s">
        <v>9</v>
      </c>
      <c r="AR3" s="969"/>
      <c r="AS3" s="969"/>
      <c r="AT3" s="969"/>
      <c r="AU3" s="969" t="s">
        <v>10</v>
      </c>
      <c r="AV3" s="969"/>
      <c r="AW3" s="969"/>
      <c r="AX3" s="969"/>
      <c r="AY3" s="969"/>
      <c r="AZ3" s="969" t="s">
        <v>11</v>
      </c>
      <c r="BA3" s="969"/>
      <c r="BB3" s="969"/>
      <c r="BC3" s="969"/>
      <c r="BD3" s="970" t="s">
        <v>12</v>
      </c>
      <c r="BE3" s="971"/>
      <c r="BF3" s="971"/>
      <c r="BG3" s="972"/>
      <c r="BH3" s="969" t="s">
        <v>1</v>
      </c>
      <c r="BI3" s="969"/>
      <c r="BJ3" s="969"/>
      <c r="BK3" s="969"/>
      <c r="BL3" s="969"/>
      <c r="BM3" s="970" t="s">
        <v>2</v>
      </c>
      <c r="BN3" s="971"/>
      <c r="BO3" s="971"/>
      <c r="BP3" s="972"/>
      <c r="BQ3" s="970" t="s">
        <v>3</v>
      </c>
      <c r="BR3" s="971"/>
      <c r="BS3" s="971"/>
      <c r="BT3" s="972"/>
      <c r="BU3" s="970" t="s">
        <v>4</v>
      </c>
      <c r="BV3" s="971"/>
      <c r="BW3" s="971"/>
      <c r="BX3" s="971"/>
      <c r="BY3" s="972"/>
      <c r="BZ3" s="970" t="s">
        <v>5</v>
      </c>
      <c r="CA3" s="971"/>
      <c r="CB3" s="971"/>
      <c r="CC3" s="972"/>
      <c r="CD3" s="970" t="s">
        <v>6</v>
      </c>
      <c r="CE3" s="971"/>
      <c r="CF3" s="971"/>
      <c r="CG3" s="971"/>
      <c r="CH3" s="972"/>
      <c r="CI3" s="970" t="s">
        <v>7</v>
      </c>
      <c r="CJ3" s="971"/>
      <c r="CK3" s="971"/>
      <c r="CL3" s="972"/>
      <c r="CM3" s="970" t="s">
        <v>8</v>
      </c>
      <c r="CN3" s="971"/>
      <c r="CO3" s="971"/>
      <c r="CP3" s="972"/>
      <c r="CQ3" s="969" t="s">
        <v>9</v>
      </c>
      <c r="CR3" s="969"/>
      <c r="CS3" s="969"/>
      <c r="CT3" s="969"/>
      <c r="CU3" s="969" t="s">
        <v>10</v>
      </c>
      <c r="CV3" s="969"/>
      <c r="CW3" s="969"/>
      <c r="CX3" s="969"/>
      <c r="CY3" s="969"/>
      <c r="CZ3" s="969" t="s">
        <v>11</v>
      </c>
      <c r="DA3" s="969"/>
      <c r="DB3" s="969"/>
      <c r="DC3" s="969"/>
      <c r="DD3" s="970" t="s">
        <v>12</v>
      </c>
      <c r="DE3" s="971"/>
      <c r="DF3" s="971"/>
      <c r="DG3" s="972"/>
      <c r="DH3" s="969" t="s">
        <v>1</v>
      </c>
      <c r="DI3" s="969"/>
      <c r="DJ3" s="969"/>
      <c r="DK3" s="969"/>
      <c r="DL3" s="969"/>
      <c r="DM3" s="970" t="s">
        <v>2</v>
      </c>
      <c r="DN3" s="971"/>
      <c r="DO3" s="971"/>
      <c r="DP3" s="972"/>
      <c r="DQ3" s="970" t="s">
        <v>3</v>
      </c>
      <c r="DR3" s="971"/>
      <c r="DS3" s="971"/>
      <c r="DT3" s="972"/>
      <c r="DU3" s="970" t="s">
        <v>4</v>
      </c>
      <c r="DV3" s="971"/>
      <c r="DW3" s="971"/>
      <c r="DX3" s="971"/>
      <c r="DY3" s="972"/>
      <c r="DZ3" s="970" t="s">
        <v>5</v>
      </c>
      <c r="EA3" s="971"/>
      <c r="EB3" s="971"/>
      <c r="EC3" s="972"/>
      <c r="ED3" s="970" t="s">
        <v>6</v>
      </c>
      <c r="EE3" s="971"/>
      <c r="EF3" s="971"/>
      <c r="EG3" s="971"/>
      <c r="EH3" s="972"/>
      <c r="EI3" s="970" t="s">
        <v>7</v>
      </c>
      <c r="EJ3" s="971"/>
      <c r="EK3" s="971"/>
      <c r="EL3" s="972"/>
      <c r="EM3" s="970" t="s">
        <v>8</v>
      </c>
      <c r="EN3" s="971"/>
      <c r="EO3" s="971"/>
      <c r="EP3" s="972"/>
      <c r="EQ3" s="969" t="s">
        <v>9</v>
      </c>
      <c r="ER3" s="969"/>
      <c r="ES3" s="969"/>
      <c r="ET3" s="969"/>
      <c r="EU3" s="969" t="s">
        <v>10</v>
      </c>
      <c r="EV3" s="969"/>
      <c r="EW3" s="969"/>
      <c r="EX3" s="969"/>
      <c r="EY3" s="969"/>
      <c r="EZ3" s="969" t="s">
        <v>11</v>
      </c>
      <c r="FA3" s="969"/>
      <c r="FB3" s="969"/>
      <c r="FC3" s="969"/>
      <c r="FD3" s="970" t="s">
        <v>12</v>
      </c>
      <c r="FE3" s="971"/>
      <c r="FF3" s="971"/>
      <c r="FG3" s="972"/>
    </row>
    <row r="4" spans="1:163" s="580" customFormat="1" ht="51" customHeight="1" x14ac:dyDescent="0.25">
      <c r="B4" s="1365" t="s">
        <v>275</v>
      </c>
      <c r="C4" s="1361" t="s">
        <v>162</v>
      </c>
      <c r="D4" s="1366" t="s">
        <v>61</v>
      </c>
      <c r="E4" s="1366" t="s">
        <v>62</v>
      </c>
      <c r="F4" s="1366" t="s">
        <v>63</v>
      </c>
      <c r="G4" s="1367" t="s">
        <v>64</v>
      </c>
      <c r="H4" s="1368" t="s">
        <v>13</v>
      </c>
      <c r="I4" s="1366" t="s">
        <v>14</v>
      </c>
      <c r="J4" s="1366" t="s">
        <v>15</v>
      </c>
      <c r="K4" s="1366" t="s">
        <v>16</v>
      </c>
      <c r="L4" s="1366" t="s">
        <v>17</v>
      </c>
      <c r="M4" s="1368" t="s">
        <v>18</v>
      </c>
      <c r="N4" s="1366" t="s">
        <v>19</v>
      </c>
      <c r="O4" s="1366" t="s">
        <v>20</v>
      </c>
      <c r="P4" s="1366" t="s">
        <v>21</v>
      </c>
      <c r="Q4" s="1368" t="s">
        <v>22</v>
      </c>
      <c r="R4" s="1366" t="s">
        <v>23</v>
      </c>
      <c r="S4" s="1366" t="s">
        <v>24</v>
      </c>
      <c r="T4" s="1366" t="s">
        <v>25</v>
      </c>
      <c r="U4" s="1368" t="s">
        <v>26</v>
      </c>
      <c r="V4" s="1366" t="s">
        <v>27</v>
      </c>
      <c r="W4" s="1366" t="s">
        <v>28</v>
      </c>
      <c r="X4" s="1366" t="s">
        <v>29</v>
      </c>
      <c r="Y4" s="1366" t="s">
        <v>30</v>
      </c>
      <c r="Z4" s="1368" t="s">
        <v>31</v>
      </c>
      <c r="AA4" s="1366" t="s">
        <v>32</v>
      </c>
      <c r="AB4" s="1366" t="s">
        <v>33</v>
      </c>
      <c r="AC4" s="1366" t="s">
        <v>34</v>
      </c>
      <c r="AD4" s="1368" t="s">
        <v>35</v>
      </c>
      <c r="AE4" s="1366" t="s">
        <v>36</v>
      </c>
      <c r="AF4" s="1366" t="s">
        <v>37</v>
      </c>
      <c r="AG4" s="1366" t="s">
        <v>38</v>
      </c>
      <c r="AH4" s="1366" t="s">
        <v>39</v>
      </c>
      <c r="AI4" s="1368" t="s">
        <v>40</v>
      </c>
      <c r="AJ4" s="1366" t="s">
        <v>41</v>
      </c>
      <c r="AK4" s="1366" t="s">
        <v>42</v>
      </c>
      <c r="AL4" s="1366" t="s">
        <v>43</v>
      </c>
      <c r="AM4" s="1368" t="s">
        <v>44</v>
      </c>
      <c r="AN4" s="1366" t="s">
        <v>45</v>
      </c>
      <c r="AO4" s="1366" t="s">
        <v>46</v>
      </c>
      <c r="AP4" s="1366" t="s">
        <v>47</v>
      </c>
      <c r="AQ4" s="1368" t="s">
        <v>48</v>
      </c>
      <c r="AR4" s="1366" t="s">
        <v>49</v>
      </c>
      <c r="AS4" s="1366" t="s">
        <v>50</v>
      </c>
      <c r="AT4" s="1366" t="s">
        <v>51</v>
      </c>
      <c r="AU4" s="1368" t="s">
        <v>52</v>
      </c>
      <c r="AV4" s="1366" t="s">
        <v>53</v>
      </c>
      <c r="AW4" s="1366" t="s">
        <v>54</v>
      </c>
      <c r="AX4" s="1366" t="s">
        <v>55</v>
      </c>
      <c r="AY4" s="1366" t="s">
        <v>56</v>
      </c>
      <c r="AZ4" s="1368" t="s">
        <v>57</v>
      </c>
      <c r="BA4" s="1366" t="s">
        <v>58</v>
      </c>
      <c r="BB4" s="1366" t="s">
        <v>59</v>
      </c>
      <c r="BC4" s="1366" t="s">
        <v>60</v>
      </c>
      <c r="BD4" s="1368" t="s">
        <v>61</v>
      </c>
      <c r="BE4" s="1366" t="s">
        <v>62</v>
      </c>
      <c r="BF4" s="1366" t="s">
        <v>63</v>
      </c>
      <c r="BG4" s="1367" t="s">
        <v>64</v>
      </c>
      <c r="BH4" s="1368" t="s">
        <v>13</v>
      </c>
      <c r="BI4" s="1366" t="s">
        <v>14</v>
      </c>
      <c r="BJ4" s="1366" t="s">
        <v>15</v>
      </c>
      <c r="BK4" s="1366" t="s">
        <v>16</v>
      </c>
      <c r="BL4" s="1366" t="s">
        <v>17</v>
      </c>
      <c r="BM4" s="1368" t="s">
        <v>18</v>
      </c>
      <c r="BN4" s="1366" t="s">
        <v>19</v>
      </c>
      <c r="BO4" s="1366" t="s">
        <v>20</v>
      </c>
      <c r="BP4" s="1366" t="s">
        <v>21</v>
      </c>
      <c r="BQ4" s="1368" t="s">
        <v>22</v>
      </c>
      <c r="BR4" s="1366" t="s">
        <v>23</v>
      </c>
      <c r="BS4" s="1366" t="s">
        <v>24</v>
      </c>
      <c r="BT4" s="1366" t="s">
        <v>25</v>
      </c>
      <c r="BU4" s="1366" t="s">
        <v>26</v>
      </c>
      <c r="BV4" s="1366" t="s">
        <v>27</v>
      </c>
      <c r="BW4" s="1366" t="s">
        <v>28</v>
      </c>
      <c r="BX4" s="1366" t="s">
        <v>29</v>
      </c>
      <c r="BY4" s="1366" t="s">
        <v>30</v>
      </c>
      <c r="BZ4" s="1368" t="s">
        <v>31</v>
      </c>
      <c r="CA4" s="1366" t="s">
        <v>32</v>
      </c>
      <c r="CB4" s="1366" t="s">
        <v>33</v>
      </c>
      <c r="CC4" s="1366" t="s">
        <v>34</v>
      </c>
      <c r="CD4" s="1368" t="s">
        <v>35</v>
      </c>
      <c r="CE4" s="1366" t="s">
        <v>36</v>
      </c>
      <c r="CF4" s="1366" t="s">
        <v>37</v>
      </c>
      <c r="CG4" s="1366" t="s">
        <v>38</v>
      </c>
      <c r="CH4" s="1366" t="s">
        <v>39</v>
      </c>
      <c r="CI4" s="1368" t="s">
        <v>40</v>
      </c>
      <c r="CJ4" s="1366" t="s">
        <v>41</v>
      </c>
      <c r="CK4" s="1366" t="s">
        <v>42</v>
      </c>
      <c r="CL4" s="1366" t="s">
        <v>43</v>
      </c>
      <c r="CM4" s="1368" t="s">
        <v>44</v>
      </c>
      <c r="CN4" s="1366" t="s">
        <v>45</v>
      </c>
      <c r="CO4" s="1366" t="s">
        <v>46</v>
      </c>
      <c r="CP4" s="1366" t="s">
        <v>47</v>
      </c>
      <c r="CQ4" s="1368" t="s">
        <v>48</v>
      </c>
      <c r="CR4" s="1366" t="s">
        <v>49</v>
      </c>
      <c r="CS4" s="1366" t="s">
        <v>50</v>
      </c>
      <c r="CT4" s="1366" t="s">
        <v>51</v>
      </c>
      <c r="CU4" s="1368" t="s">
        <v>52</v>
      </c>
      <c r="CV4" s="1366" t="s">
        <v>53</v>
      </c>
      <c r="CW4" s="1366" t="s">
        <v>54</v>
      </c>
      <c r="CX4" s="1366" t="s">
        <v>55</v>
      </c>
      <c r="CY4" s="1366" t="s">
        <v>56</v>
      </c>
      <c r="CZ4" s="1368" t="s">
        <v>57</v>
      </c>
      <c r="DA4" s="1366" t="s">
        <v>58</v>
      </c>
      <c r="DB4" s="1366" t="s">
        <v>59</v>
      </c>
      <c r="DC4" s="1366" t="s">
        <v>60</v>
      </c>
      <c r="DD4" s="1368" t="s">
        <v>61</v>
      </c>
      <c r="DE4" s="1366" t="s">
        <v>62</v>
      </c>
      <c r="DF4" s="1366" t="s">
        <v>63</v>
      </c>
      <c r="DG4" s="1366" t="s">
        <v>64</v>
      </c>
      <c r="DH4" s="1368" t="s">
        <v>13</v>
      </c>
      <c r="DI4" s="1366" t="s">
        <v>14</v>
      </c>
      <c r="DJ4" s="1366" t="s">
        <v>15</v>
      </c>
      <c r="DK4" s="1366" t="s">
        <v>16</v>
      </c>
      <c r="DL4" s="1366" t="s">
        <v>17</v>
      </c>
      <c r="DM4" s="1368" t="s">
        <v>18</v>
      </c>
      <c r="DN4" s="1366" t="s">
        <v>19</v>
      </c>
      <c r="DO4" s="1366" t="s">
        <v>20</v>
      </c>
      <c r="DP4" s="1366" t="s">
        <v>21</v>
      </c>
      <c r="DQ4" s="1368" t="s">
        <v>22</v>
      </c>
      <c r="DR4" s="1366" t="s">
        <v>23</v>
      </c>
      <c r="DS4" s="1366" t="s">
        <v>24</v>
      </c>
      <c r="DT4" s="1366" t="s">
        <v>25</v>
      </c>
      <c r="DU4" s="1368" t="s">
        <v>26</v>
      </c>
      <c r="DV4" s="1366" t="s">
        <v>27</v>
      </c>
      <c r="DW4" s="1366" t="s">
        <v>28</v>
      </c>
      <c r="DX4" s="1366" t="s">
        <v>29</v>
      </c>
      <c r="DY4" s="1366" t="s">
        <v>30</v>
      </c>
      <c r="DZ4" s="1368" t="s">
        <v>31</v>
      </c>
      <c r="EA4" s="1366" t="s">
        <v>32</v>
      </c>
      <c r="EB4" s="1366" t="s">
        <v>33</v>
      </c>
      <c r="EC4" s="1366" t="s">
        <v>34</v>
      </c>
      <c r="ED4" s="1368" t="s">
        <v>35</v>
      </c>
      <c r="EE4" s="1366" t="s">
        <v>36</v>
      </c>
      <c r="EF4" s="1366" t="s">
        <v>37</v>
      </c>
      <c r="EG4" s="1366" t="s">
        <v>38</v>
      </c>
      <c r="EH4" s="1366" t="s">
        <v>39</v>
      </c>
      <c r="EI4" s="1368" t="s">
        <v>40</v>
      </c>
      <c r="EJ4" s="1366" t="s">
        <v>41</v>
      </c>
      <c r="EK4" s="1366" t="s">
        <v>42</v>
      </c>
      <c r="EL4" s="1366" t="s">
        <v>43</v>
      </c>
      <c r="EM4" s="1368" t="s">
        <v>44</v>
      </c>
      <c r="EN4" s="1366" t="s">
        <v>45</v>
      </c>
      <c r="EO4" s="1366" t="s">
        <v>46</v>
      </c>
      <c r="EP4" s="1366" t="s">
        <v>47</v>
      </c>
      <c r="EQ4" s="1368" t="s">
        <v>48</v>
      </c>
      <c r="ER4" s="1366" t="s">
        <v>49</v>
      </c>
      <c r="ES4" s="1366" t="s">
        <v>50</v>
      </c>
      <c r="ET4" s="1366" t="s">
        <v>51</v>
      </c>
      <c r="EU4" s="1368" t="s">
        <v>52</v>
      </c>
      <c r="EV4" s="1366" t="s">
        <v>53</v>
      </c>
      <c r="EW4" s="1366" t="s">
        <v>54</v>
      </c>
      <c r="EX4" s="1366" t="s">
        <v>55</v>
      </c>
      <c r="EY4" s="1366" t="s">
        <v>56</v>
      </c>
      <c r="EZ4" s="1368" t="s">
        <v>57</v>
      </c>
      <c r="FA4" s="1366" t="s">
        <v>58</v>
      </c>
      <c r="FB4" s="1366" t="s">
        <v>59</v>
      </c>
      <c r="FC4" s="1366" t="s">
        <v>60</v>
      </c>
      <c r="FD4" s="1368" t="s">
        <v>61</v>
      </c>
      <c r="FE4" s="1366" t="s">
        <v>62</v>
      </c>
      <c r="FF4" s="1366" t="s">
        <v>63</v>
      </c>
      <c r="FG4" s="1366" t="s">
        <v>64</v>
      </c>
    </row>
    <row r="5" spans="1:163" ht="19.899999999999999" customHeight="1" x14ac:dyDescent="0.25">
      <c r="B5" s="983" t="s">
        <v>278</v>
      </c>
      <c r="C5" s="1358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85" t="s">
        <v>279</v>
      </c>
      <c r="X5" s="985"/>
      <c r="Y5" s="985"/>
      <c r="Z5" s="985"/>
      <c r="AA5" s="985"/>
      <c r="AB5" s="985"/>
      <c r="AC5" s="985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5"/>
      <c r="AP5" s="985"/>
      <c r="AQ5" s="985"/>
      <c r="AR5" s="985"/>
      <c r="AS5" s="985"/>
      <c r="AT5" s="985"/>
      <c r="AU5" s="98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83"/>
      <c r="C6" s="1358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85"/>
      <c r="X6" s="985"/>
      <c r="Y6" s="985"/>
      <c r="Z6" s="985"/>
      <c r="AA6" s="985"/>
      <c r="AB6" s="985"/>
      <c r="AC6" s="985"/>
      <c r="AD6" s="985"/>
      <c r="AE6" s="985"/>
      <c r="AF6" s="985"/>
      <c r="AG6" s="985"/>
      <c r="AH6" s="985"/>
      <c r="AI6" s="985"/>
      <c r="AJ6" s="985"/>
      <c r="AK6" s="985"/>
      <c r="AL6" s="985"/>
      <c r="AM6" s="985"/>
      <c r="AN6" s="985"/>
      <c r="AO6" s="985"/>
      <c r="AP6" s="985"/>
      <c r="AQ6" s="985"/>
      <c r="AR6" s="985"/>
      <c r="AS6" s="985"/>
      <c r="AT6" s="985"/>
      <c r="AU6" s="98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83"/>
      <c r="C7" s="1358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85"/>
      <c r="X7" s="985"/>
      <c r="Y7" s="985"/>
      <c r="Z7" s="985"/>
      <c r="AA7" s="985"/>
      <c r="AB7" s="985"/>
      <c r="AC7" s="985"/>
      <c r="AD7" s="985"/>
      <c r="AE7" s="985"/>
      <c r="AF7" s="985"/>
      <c r="AG7" s="985"/>
      <c r="AH7" s="985"/>
      <c r="AI7" s="985"/>
      <c r="AJ7" s="985"/>
      <c r="AK7" s="985"/>
      <c r="AL7" s="985"/>
      <c r="AM7" s="985"/>
      <c r="AN7" s="985"/>
      <c r="AO7" s="985"/>
      <c r="AP7" s="985"/>
      <c r="AQ7" s="985"/>
      <c r="AR7" s="985"/>
      <c r="AS7" s="985"/>
      <c r="AT7" s="985"/>
      <c r="AU7" s="98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983"/>
      <c r="C8" s="1358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85"/>
      <c r="X8" s="985"/>
      <c r="Y8" s="985"/>
      <c r="Z8" s="985"/>
      <c r="AA8" s="985"/>
      <c r="AB8" s="985"/>
      <c r="AC8" s="985"/>
      <c r="AD8" s="985"/>
      <c r="AE8" s="985"/>
      <c r="AF8" s="985"/>
      <c r="AG8" s="985"/>
      <c r="AH8" s="985"/>
      <c r="AI8" s="985"/>
      <c r="AJ8" s="985"/>
      <c r="AK8" s="985"/>
      <c r="AL8" s="985"/>
      <c r="AM8" s="985"/>
      <c r="AN8" s="985"/>
      <c r="AO8" s="985"/>
      <c r="AP8" s="985"/>
      <c r="AQ8" s="985"/>
      <c r="AR8" s="985"/>
      <c r="AS8" s="985"/>
      <c r="AT8" s="985"/>
      <c r="AU8" s="98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983"/>
      <c r="C9" s="1358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85"/>
      <c r="X9" s="985"/>
      <c r="Y9" s="985"/>
      <c r="Z9" s="985"/>
      <c r="AA9" s="985"/>
      <c r="AB9" s="985"/>
      <c r="AC9" s="985"/>
      <c r="AD9" s="985"/>
      <c r="AE9" s="985"/>
      <c r="AF9" s="985"/>
      <c r="AG9" s="985"/>
      <c r="AH9" s="985"/>
      <c r="AI9" s="985"/>
      <c r="AJ9" s="985"/>
      <c r="AK9" s="985"/>
      <c r="AL9" s="985"/>
      <c r="AM9" s="985"/>
      <c r="AN9" s="985"/>
      <c r="AO9" s="985"/>
      <c r="AP9" s="985"/>
      <c r="AQ9" s="985"/>
      <c r="AR9" s="985"/>
      <c r="AS9" s="985"/>
      <c r="AT9" s="985"/>
      <c r="AU9" s="98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83"/>
      <c r="C10" s="1358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85"/>
      <c r="X10" s="985"/>
      <c r="Y10" s="985"/>
      <c r="Z10" s="985"/>
      <c r="AA10" s="985"/>
      <c r="AB10" s="985"/>
      <c r="AC10" s="985"/>
      <c r="AD10" s="985"/>
      <c r="AE10" s="985"/>
      <c r="AF10" s="985"/>
      <c r="AG10" s="985"/>
      <c r="AH10" s="985"/>
      <c r="AI10" s="985"/>
      <c r="AJ10" s="985"/>
      <c r="AK10" s="985"/>
      <c r="AL10" s="985"/>
      <c r="AM10" s="985"/>
      <c r="AN10" s="985"/>
      <c r="AO10" s="985"/>
      <c r="AP10" s="985"/>
      <c r="AQ10" s="985"/>
      <c r="AR10" s="985"/>
      <c r="AS10" s="985"/>
      <c r="AT10" s="985"/>
      <c r="AU10" s="98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83"/>
      <c r="C11" s="1358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85"/>
      <c r="X11" s="985"/>
      <c r="Y11" s="985"/>
      <c r="Z11" s="985"/>
      <c r="AA11" s="985"/>
      <c r="AB11" s="985"/>
      <c r="AC11" s="985"/>
      <c r="AD11" s="985"/>
      <c r="AE11" s="985"/>
      <c r="AF11" s="985"/>
      <c r="AG11" s="985"/>
      <c r="AH11" s="985"/>
      <c r="AI11" s="985"/>
      <c r="AJ11" s="985"/>
      <c r="AK11" s="985"/>
      <c r="AL11" s="985"/>
      <c r="AM11" s="985"/>
      <c r="AN11" s="985"/>
      <c r="AO11" s="985"/>
      <c r="AP11" s="985"/>
      <c r="AQ11" s="985"/>
      <c r="AR11" s="985"/>
      <c r="AS11" s="985"/>
      <c r="AT11" s="985"/>
      <c r="AU11" s="98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83"/>
      <c r="C12" s="1358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85"/>
      <c r="X12" s="985"/>
      <c r="Y12" s="985"/>
      <c r="Z12" s="985"/>
      <c r="AA12" s="985"/>
      <c r="AB12" s="985"/>
      <c r="AC12" s="985"/>
      <c r="AD12" s="985"/>
      <c r="AE12" s="985"/>
      <c r="AF12" s="985"/>
      <c r="AG12" s="985"/>
      <c r="AH12" s="985"/>
      <c r="AI12" s="985"/>
      <c r="AJ12" s="985"/>
      <c r="AK12" s="985"/>
      <c r="AL12" s="985"/>
      <c r="AM12" s="985"/>
      <c r="AN12" s="985"/>
      <c r="AO12" s="985"/>
      <c r="AP12" s="985"/>
      <c r="AQ12" s="985"/>
      <c r="AR12" s="985"/>
      <c r="AS12" s="985"/>
      <c r="AT12" s="985"/>
      <c r="AU12" s="98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83"/>
      <c r="C13" s="1358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85"/>
      <c r="X13" s="985"/>
      <c r="Y13" s="985"/>
      <c r="Z13" s="985"/>
      <c r="AA13" s="985"/>
      <c r="AB13" s="985"/>
      <c r="AC13" s="985"/>
      <c r="AD13" s="985"/>
      <c r="AE13" s="985"/>
      <c r="AF13" s="985"/>
      <c r="AG13" s="985"/>
      <c r="AH13" s="985"/>
      <c r="AI13" s="985"/>
      <c r="AJ13" s="985"/>
      <c r="AK13" s="985"/>
      <c r="AL13" s="985"/>
      <c r="AM13" s="985"/>
      <c r="AN13" s="985"/>
      <c r="AO13" s="985"/>
      <c r="AP13" s="985"/>
      <c r="AQ13" s="985"/>
      <c r="AR13" s="985"/>
      <c r="AS13" s="985"/>
      <c r="AT13" s="985"/>
      <c r="AU13" s="98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83"/>
      <c r="C14" s="1358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85"/>
      <c r="X14" s="985"/>
      <c r="Y14" s="985"/>
      <c r="Z14" s="985"/>
      <c r="AA14" s="985"/>
      <c r="AB14" s="985"/>
      <c r="AC14" s="985"/>
      <c r="AD14" s="985"/>
      <c r="AE14" s="985"/>
      <c r="AF14" s="985"/>
      <c r="AG14" s="985"/>
      <c r="AH14" s="985"/>
      <c r="AI14" s="985"/>
      <c r="AJ14" s="985"/>
      <c r="AK14" s="985"/>
      <c r="AL14" s="985"/>
      <c r="AM14" s="985"/>
      <c r="AN14" s="985"/>
      <c r="AO14" s="985"/>
      <c r="AP14" s="985"/>
      <c r="AQ14" s="985"/>
      <c r="AR14" s="985"/>
      <c r="AS14" s="985"/>
      <c r="AT14" s="985"/>
      <c r="AU14" s="98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83"/>
      <c r="C15" s="1358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85"/>
      <c r="X15" s="985"/>
      <c r="Y15" s="985"/>
      <c r="Z15" s="985"/>
      <c r="AA15" s="985"/>
      <c r="AB15" s="985"/>
      <c r="AC15" s="985"/>
      <c r="AD15" s="985"/>
      <c r="AE15" s="985"/>
      <c r="AF15" s="985"/>
      <c r="AG15" s="985"/>
      <c r="AH15" s="985"/>
      <c r="AI15" s="985"/>
      <c r="AJ15" s="985"/>
      <c r="AK15" s="985"/>
      <c r="AL15" s="985"/>
      <c r="AM15" s="985"/>
      <c r="AN15" s="985"/>
      <c r="AO15" s="985"/>
      <c r="AP15" s="985"/>
      <c r="AQ15" s="985"/>
      <c r="AR15" s="985"/>
      <c r="AS15" s="985"/>
      <c r="AT15" s="985"/>
      <c r="AU15" s="98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983"/>
      <c r="C16" s="1358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85"/>
      <c r="X16" s="985"/>
      <c r="Y16" s="985"/>
      <c r="Z16" s="985"/>
      <c r="AA16" s="985"/>
      <c r="AB16" s="985"/>
      <c r="AC16" s="985"/>
      <c r="AD16" s="985"/>
      <c r="AE16" s="985"/>
      <c r="AF16" s="985"/>
      <c r="AG16" s="985"/>
      <c r="AH16" s="985"/>
      <c r="AI16" s="985"/>
      <c r="AJ16" s="985"/>
      <c r="AK16" s="985"/>
      <c r="AL16" s="985"/>
      <c r="AM16" s="985"/>
      <c r="AN16" s="985"/>
      <c r="AO16" s="985"/>
      <c r="AP16" s="985"/>
      <c r="AQ16" s="985"/>
      <c r="AR16" s="985"/>
      <c r="AS16" s="985"/>
      <c r="AT16" s="985"/>
      <c r="AU16" s="985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983"/>
      <c r="C17" s="1358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85"/>
      <c r="X17" s="985"/>
      <c r="Y17" s="985"/>
      <c r="Z17" s="985"/>
      <c r="AA17" s="985"/>
      <c r="AB17" s="985"/>
      <c r="AC17" s="985"/>
      <c r="AD17" s="985"/>
      <c r="AE17" s="985"/>
      <c r="AF17" s="985"/>
      <c r="AG17" s="985"/>
      <c r="AH17" s="985"/>
      <c r="AI17" s="985"/>
      <c r="AJ17" s="985"/>
      <c r="AK17" s="985"/>
      <c r="AL17" s="985"/>
      <c r="AM17" s="985"/>
      <c r="AN17" s="985"/>
      <c r="AO17" s="985"/>
      <c r="AP17" s="985"/>
      <c r="AQ17" s="985"/>
      <c r="AR17" s="985"/>
      <c r="AS17" s="985"/>
      <c r="AT17" s="985"/>
      <c r="AU17" s="98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83"/>
      <c r="C18" s="1358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85"/>
      <c r="X18" s="985"/>
      <c r="Y18" s="985"/>
      <c r="Z18" s="985"/>
      <c r="AA18" s="985"/>
      <c r="AB18" s="985"/>
      <c r="AC18" s="985"/>
      <c r="AD18" s="985"/>
      <c r="AE18" s="985"/>
      <c r="AF18" s="985"/>
      <c r="AG18" s="985"/>
      <c r="AH18" s="985"/>
      <c r="AI18" s="985"/>
      <c r="AJ18" s="985"/>
      <c r="AK18" s="985"/>
      <c r="AL18" s="985"/>
      <c r="AM18" s="985"/>
      <c r="AN18" s="985"/>
      <c r="AO18" s="985"/>
      <c r="AP18" s="985"/>
      <c r="AQ18" s="985"/>
      <c r="AR18" s="985"/>
      <c r="AS18" s="985"/>
      <c r="AT18" s="985"/>
      <c r="AU18" s="98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83"/>
      <c r="C19" s="1358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85"/>
      <c r="X19" s="985"/>
      <c r="Y19" s="985"/>
      <c r="Z19" s="985"/>
      <c r="AA19" s="985"/>
      <c r="AB19" s="985"/>
      <c r="AC19" s="985"/>
      <c r="AD19" s="985"/>
      <c r="AE19" s="985"/>
      <c r="AF19" s="985"/>
      <c r="AG19" s="985"/>
      <c r="AH19" s="985"/>
      <c r="AI19" s="985"/>
      <c r="AJ19" s="985"/>
      <c r="AK19" s="985"/>
      <c r="AL19" s="985"/>
      <c r="AM19" s="985"/>
      <c r="AN19" s="985"/>
      <c r="AO19" s="985"/>
      <c r="AP19" s="985"/>
      <c r="AQ19" s="985"/>
      <c r="AR19" s="985"/>
      <c r="AS19" s="985"/>
      <c r="AT19" s="985"/>
      <c r="AU19" s="985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83"/>
      <c r="C20" s="1358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85"/>
      <c r="X20" s="985"/>
      <c r="Y20" s="985"/>
      <c r="Z20" s="985"/>
      <c r="AA20" s="985"/>
      <c r="AB20" s="985"/>
      <c r="AC20" s="985"/>
      <c r="AD20" s="985"/>
      <c r="AE20" s="985"/>
      <c r="AF20" s="985"/>
      <c r="AG20" s="985"/>
      <c r="AH20" s="985"/>
      <c r="AI20" s="985"/>
      <c r="AJ20" s="985"/>
      <c r="AK20" s="985"/>
      <c r="AL20" s="985"/>
      <c r="AM20" s="985"/>
      <c r="AN20" s="985"/>
      <c r="AO20" s="985"/>
      <c r="AP20" s="985"/>
      <c r="AQ20" s="985"/>
      <c r="AR20" s="985"/>
      <c r="AS20" s="985"/>
      <c r="AT20" s="985"/>
      <c r="AU20" s="98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83"/>
      <c r="C21" s="1358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85"/>
      <c r="X21" s="985"/>
      <c r="Y21" s="985"/>
      <c r="Z21" s="985"/>
      <c r="AA21" s="985"/>
      <c r="AB21" s="985"/>
      <c r="AC21" s="985"/>
      <c r="AD21" s="985"/>
      <c r="AE21" s="985"/>
      <c r="AF21" s="985"/>
      <c r="AG21" s="985"/>
      <c r="AH21" s="985"/>
      <c r="AI21" s="985"/>
      <c r="AJ21" s="985"/>
      <c r="AK21" s="985"/>
      <c r="AL21" s="985"/>
      <c r="AM21" s="985"/>
      <c r="AN21" s="985"/>
      <c r="AO21" s="985"/>
      <c r="AP21" s="985"/>
      <c r="AQ21" s="985"/>
      <c r="AR21" s="985"/>
      <c r="AS21" s="985"/>
      <c r="AT21" s="985"/>
      <c r="AU21" s="98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83"/>
      <c r="C22" s="1358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85"/>
      <c r="X22" s="985"/>
      <c r="Y22" s="985"/>
      <c r="Z22" s="985"/>
      <c r="AA22" s="985"/>
      <c r="AB22" s="985"/>
      <c r="AC22" s="985"/>
      <c r="AD22" s="985"/>
      <c r="AE22" s="985"/>
      <c r="AF22" s="985"/>
      <c r="AG22" s="985"/>
      <c r="AH22" s="985"/>
      <c r="AI22" s="985"/>
      <c r="AJ22" s="985"/>
      <c r="AK22" s="985"/>
      <c r="AL22" s="985"/>
      <c r="AM22" s="985"/>
      <c r="AN22" s="985"/>
      <c r="AO22" s="985"/>
      <c r="AP22" s="985"/>
      <c r="AQ22" s="985"/>
      <c r="AR22" s="985"/>
      <c r="AS22" s="985"/>
      <c r="AT22" s="985"/>
      <c r="AU22" s="98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983"/>
      <c r="C23" s="1358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85"/>
      <c r="X23" s="985"/>
      <c r="Y23" s="985"/>
      <c r="Z23" s="985"/>
      <c r="AA23" s="985"/>
      <c r="AB23" s="985"/>
      <c r="AC23" s="985"/>
      <c r="AD23" s="985"/>
      <c r="AE23" s="985"/>
      <c r="AF23" s="985"/>
      <c r="AG23" s="985"/>
      <c r="AH23" s="985"/>
      <c r="AI23" s="985"/>
      <c r="AJ23" s="985"/>
      <c r="AK23" s="985"/>
      <c r="AL23" s="985"/>
      <c r="AM23" s="985"/>
      <c r="AN23" s="985"/>
      <c r="AO23" s="985"/>
      <c r="AP23" s="985"/>
      <c r="AQ23" s="985"/>
      <c r="AR23" s="985"/>
      <c r="AS23" s="985"/>
      <c r="AT23" s="985"/>
      <c r="AU23" s="98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984"/>
      <c r="C24" s="1359">
        <f t="shared" si="0"/>
        <v>20</v>
      </c>
      <c r="D24" s="563"/>
      <c r="G24" s="567"/>
      <c r="L24" s="565"/>
      <c r="P24" s="565"/>
      <c r="T24" s="565"/>
      <c r="U24" s="566"/>
      <c r="V24" s="566"/>
      <c r="W24" s="985"/>
      <c r="X24" s="985"/>
      <c r="Y24" s="985"/>
      <c r="Z24" s="985"/>
      <c r="AA24" s="985"/>
      <c r="AB24" s="985"/>
      <c r="AC24" s="985"/>
      <c r="AD24" s="985"/>
      <c r="AE24" s="985"/>
      <c r="AF24" s="985"/>
      <c r="AG24" s="985"/>
      <c r="AH24" s="985"/>
      <c r="AI24" s="985"/>
      <c r="AJ24" s="985"/>
      <c r="AK24" s="985"/>
      <c r="AL24" s="985"/>
      <c r="AM24" s="985"/>
      <c r="AN24" s="985"/>
      <c r="AO24" s="985"/>
      <c r="AP24" s="985"/>
      <c r="AQ24" s="985"/>
      <c r="AR24" s="985"/>
      <c r="AS24" s="985"/>
      <c r="AT24" s="985"/>
      <c r="AU24" s="98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986" t="s">
        <v>277</v>
      </c>
      <c r="C25" s="1362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77" t="s">
        <v>318</v>
      </c>
      <c r="X25" s="1078"/>
      <c r="Y25" s="1078"/>
      <c r="Z25" s="1078"/>
      <c r="AA25" s="1078"/>
      <c r="AB25" s="1078"/>
      <c r="AC25" s="1078"/>
      <c r="AD25" s="1078"/>
      <c r="AE25" s="1078"/>
      <c r="AF25" s="1078"/>
      <c r="AG25" s="1078"/>
      <c r="AH25" s="1078"/>
      <c r="AI25" s="1078"/>
      <c r="AJ25" s="1078"/>
      <c r="AK25" s="1078"/>
      <c r="AL25" s="1078"/>
      <c r="AM25" s="1078"/>
      <c r="AN25" s="1078"/>
      <c r="AO25" s="1078"/>
      <c r="AP25" s="1078"/>
      <c r="AQ25" s="1078"/>
      <c r="AR25" s="1078"/>
      <c r="AS25" s="1078"/>
      <c r="AT25" s="1078"/>
      <c r="AU25" s="107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83"/>
      <c r="C26" s="13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0"/>
      <c r="X26" s="1081"/>
      <c r="Y26" s="1081"/>
      <c r="Z26" s="1081"/>
      <c r="AA26" s="1081"/>
      <c r="AB26" s="1081"/>
      <c r="AC26" s="1081"/>
      <c r="AD26" s="1081"/>
      <c r="AE26" s="1081"/>
      <c r="AF26" s="1081"/>
      <c r="AG26" s="1081"/>
      <c r="AH26" s="1081"/>
      <c r="AI26" s="1081"/>
      <c r="AJ26" s="1081"/>
      <c r="AK26" s="1081"/>
      <c r="AL26" s="1081"/>
      <c r="AM26" s="1081"/>
      <c r="AN26" s="1081"/>
      <c r="AO26" s="1081"/>
      <c r="AP26" s="1081"/>
      <c r="AQ26" s="1081"/>
      <c r="AR26" s="1081"/>
      <c r="AS26" s="1081"/>
      <c r="AT26" s="1081"/>
      <c r="AU26" s="108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83"/>
      <c r="C27" s="13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0"/>
      <c r="X27" s="1081"/>
      <c r="Y27" s="1081"/>
      <c r="Z27" s="1081"/>
      <c r="AA27" s="1081"/>
      <c r="AB27" s="1081"/>
      <c r="AC27" s="1081"/>
      <c r="AD27" s="1081"/>
      <c r="AE27" s="1081"/>
      <c r="AF27" s="1081"/>
      <c r="AG27" s="1081"/>
      <c r="AH27" s="1081"/>
      <c r="AI27" s="1081"/>
      <c r="AJ27" s="1081"/>
      <c r="AK27" s="1081"/>
      <c r="AL27" s="1081"/>
      <c r="AM27" s="1081"/>
      <c r="AN27" s="1081"/>
      <c r="AO27" s="1081"/>
      <c r="AP27" s="1081"/>
      <c r="AQ27" s="1081"/>
      <c r="AR27" s="1081"/>
      <c r="AS27" s="1081"/>
      <c r="AT27" s="1081"/>
      <c r="AU27" s="108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83"/>
      <c r="C28" s="1362">
        <f t="shared" si="0"/>
        <v>24</v>
      </c>
      <c r="D28" s="352"/>
      <c r="U28" s="350"/>
      <c r="V28" s="350"/>
      <c r="W28" s="1080"/>
      <c r="X28" s="1081"/>
      <c r="Y28" s="1081"/>
      <c r="Z28" s="1081"/>
      <c r="AA28" s="1081"/>
      <c r="AB28" s="1081"/>
      <c r="AC28" s="1081"/>
      <c r="AD28" s="1081"/>
      <c r="AE28" s="1081"/>
      <c r="AF28" s="1081"/>
      <c r="AG28" s="1081"/>
      <c r="AH28" s="1081"/>
      <c r="AI28" s="1081"/>
      <c r="AJ28" s="1081"/>
      <c r="AK28" s="1081"/>
      <c r="AL28" s="1081"/>
      <c r="AM28" s="1081"/>
      <c r="AN28" s="1081"/>
      <c r="AO28" s="1081"/>
      <c r="AP28" s="1081"/>
      <c r="AQ28" s="1081"/>
      <c r="AR28" s="1081"/>
      <c r="AS28" s="1081"/>
      <c r="AT28" s="1081"/>
      <c r="AU28" s="1082"/>
      <c r="BT28" s="159"/>
    </row>
    <row r="29" spans="2:163" ht="19.899999999999999" customHeight="1" x14ac:dyDescent="0.25">
      <c r="B29" s="983"/>
      <c r="C29" s="13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0"/>
      <c r="X29" s="1081"/>
      <c r="Y29" s="1081"/>
      <c r="Z29" s="1081"/>
      <c r="AA29" s="1081"/>
      <c r="AB29" s="1081"/>
      <c r="AC29" s="1081"/>
      <c r="AD29" s="1081"/>
      <c r="AE29" s="1081"/>
      <c r="AF29" s="1081"/>
      <c r="AG29" s="1081"/>
      <c r="AH29" s="1081"/>
      <c r="AI29" s="1081"/>
      <c r="AJ29" s="1081"/>
      <c r="AK29" s="1081"/>
      <c r="AL29" s="1081"/>
      <c r="AM29" s="1081"/>
      <c r="AN29" s="1081"/>
      <c r="AO29" s="1081"/>
      <c r="AP29" s="1081"/>
      <c r="AQ29" s="1081"/>
      <c r="AR29" s="1081"/>
      <c r="AS29" s="1081"/>
      <c r="AT29" s="1081"/>
      <c r="AU29" s="108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983"/>
      <c r="C30" s="13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0"/>
      <c r="X30" s="1081"/>
      <c r="Y30" s="1081"/>
      <c r="Z30" s="1081"/>
      <c r="AA30" s="1081"/>
      <c r="AB30" s="1081"/>
      <c r="AC30" s="1081"/>
      <c r="AD30" s="1081"/>
      <c r="AE30" s="1081"/>
      <c r="AF30" s="1081"/>
      <c r="AG30" s="1081"/>
      <c r="AH30" s="1081"/>
      <c r="AI30" s="1081"/>
      <c r="AJ30" s="1081"/>
      <c r="AK30" s="1081"/>
      <c r="AL30" s="1081"/>
      <c r="AM30" s="1081"/>
      <c r="AN30" s="1081"/>
      <c r="AO30" s="1081"/>
      <c r="AP30" s="1081"/>
      <c r="AQ30" s="1081"/>
      <c r="AR30" s="1081"/>
      <c r="AS30" s="1081"/>
      <c r="AT30" s="1081"/>
      <c r="AU30" s="108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983"/>
      <c r="C31" s="13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0"/>
      <c r="X31" s="1081"/>
      <c r="Y31" s="1081"/>
      <c r="Z31" s="1081"/>
      <c r="AA31" s="1081"/>
      <c r="AB31" s="1081"/>
      <c r="AC31" s="1081"/>
      <c r="AD31" s="1081"/>
      <c r="AE31" s="1081"/>
      <c r="AF31" s="1081"/>
      <c r="AG31" s="1081"/>
      <c r="AH31" s="1081"/>
      <c r="AI31" s="1081"/>
      <c r="AJ31" s="1081"/>
      <c r="AK31" s="1081"/>
      <c r="AL31" s="1081"/>
      <c r="AM31" s="1081"/>
      <c r="AN31" s="1081"/>
      <c r="AO31" s="1081"/>
      <c r="AP31" s="1081"/>
      <c r="AQ31" s="1081"/>
      <c r="AR31" s="1081"/>
      <c r="AS31" s="1081"/>
      <c r="AT31" s="1081"/>
      <c r="AU31" s="108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983"/>
      <c r="C32" s="13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0"/>
      <c r="X32" s="1081"/>
      <c r="Y32" s="1081"/>
      <c r="Z32" s="1081"/>
      <c r="AA32" s="1081"/>
      <c r="AB32" s="1081"/>
      <c r="AC32" s="1081"/>
      <c r="AD32" s="1081"/>
      <c r="AE32" s="1081"/>
      <c r="AF32" s="1081"/>
      <c r="AG32" s="1081"/>
      <c r="AH32" s="1081"/>
      <c r="AI32" s="1081"/>
      <c r="AJ32" s="1081"/>
      <c r="AK32" s="1081"/>
      <c r="AL32" s="1081"/>
      <c r="AM32" s="1081"/>
      <c r="AN32" s="1081"/>
      <c r="AO32" s="1081"/>
      <c r="AP32" s="1081"/>
      <c r="AQ32" s="1081"/>
      <c r="AR32" s="1081"/>
      <c r="AS32" s="1081"/>
      <c r="AT32" s="1081"/>
      <c r="AU32" s="108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83"/>
      <c r="C33" s="1362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0"/>
      <c r="X33" s="1081"/>
      <c r="Y33" s="1081"/>
      <c r="Z33" s="1081"/>
      <c r="AA33" s="1081"/>
      <c r="AB33" s="1081"/>
      <c r="AC33" s="1081"/>
      <c r="AD33" s="1081"/>
      <c r="AE33" s="1081"/>
      <c r="AF33" s="1081"/>
      <c r="AG33" s="1081"/>
      <c r="AH33" s="1081"/>
      <c r="AI33" s="1081"/>
      <c r="AJ33" s="1081"/>
      <c r="AK33" s="1081"/>
      <c r="AL33" s="1081"/>
      <c r="AM33" s="1081"/>
      <c r="AN33" s="1081"/>
      <c r="AO33" s="1081"/>
      <c r="AP33" s="1081"/>
      <c r="AQ33" s="1081"/>
      <c r="AR33" s="1081"/>
      <c r="AS33" s="1081"/>
      <c r="AT33" s="1081"/>
      <c r="AU33" s="108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83"/>
      <c r="C34" s="1362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0"/>
      <c r="X34" s="1081"/>
      <c r="Y34" s="1081"/>
      <c r="Z34" s="1081"/>
      <c r="AA34" s="1081"/>
      <c r="AB34" s="1081"/>
      <c r="AC34" s="1081"/>
      <c r="AD34" s="1081"/>
      <c r="AE34" s="1081"/>
      <c r="AF34" s="1081"/>
      <c r="AG34" s="1081"/>
      <c r="AH34" s="1081"/>
      <c r="AI34" s="1081"/>
      <c r="AJ34" s="1081"/>
      <c r="AK34" s="1081"/>
      <c r="AL34" s="1081"/>
      <c r="AM34" s="1081"/>
      <c r="AN34" s="1081"/>
      <c r="AO34" s="1081"/>
      <c r="AP34" s="1081"/>
      <c r="AQ34" s="1081"/>
      <c r="AR34" s="1081"/>
      <c r="AS34" s="1081"/>
      <c r="AT34" s="1081"/>
      <c r="AU34" s="108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83"/>
      <c r="C35" s="13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0"/>
      <c r="X35" s="1081"/>
      <c r="Y35" s="1081"/>
      <c r="Z35" s="1081"/>
      <c r="AA35" s="1081"/>
      <c r="AB35" s="1081"/>
      <c r="AC35" s="1081"/>
      <c r="AD35" s="1081"/>
      <c r="AE35" s="1081"/>
      <c r="AF35" s="1081"/>
      <c r="AG35" s="1081"/>
      <c r="AH35" s="1081"/>
      <c r="AI35" s="1081"/>
      <c r="AJ35" s="1081"/>
      <c r="AK35" s="1081"/>
      <c r="AL35" s="1081"/>
      <c r="AM35" s="1081"/>
      <c r="AN35" s="1081"/>
      <c r="AO35" s="1081"/>
      <c r="AP35" s="1081"/>
      <c r="AQ35" s="1081"/>
      <c r="AR35" s="1081"/>
      <c r="AS35" s="1081"/>
      <c r="AT35" s="1081"/>
      <c r="AU35" s="108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983"/>
      <c r="C36" s="13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0"/>
      <c r="X36" s="1081"/>
      <c r="Y36" s="1081"/>
      <c r="Z36" s="1081"/>
      <c r="AA36" s="1081"/>
      <c r="AB36" s="1081"/>
      <c r="AC36" s="1081"/>
      <c r="AD36" s="1081"/>
      <c r="AE36" s="1081"/>
      <c r="AF36" s="1081"/>
      <c r="AG36" s="1081"/>
      <c r="AH36" s="1081"/>
      <c r="AI36" s="1081"/>
      <c r="AJ36" s="1081"/>
      <c r="AK36" s="1081"/>
      <c r="AL36" s="1081"/>
      <c r="AM36" s="1081"/>
      <c r="AN36" s="1081"/>
      <c r="AO36" s="1081"/>
      <c r="AP36" s="1081"/>
      <c r="AQ36" s="1081"/>
      <c r="AR36" s="1081"/>
      <c r="AS36" s="1081"/>
      <c r="AT36" s="1081"/>
      <c r="AU36" s="108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983"/>
      <c r="C37" s="1362">
        <f t="shared" si="1"/>
        <v>33</v>
      </c>
      <c r="D37" s="352"/>
      <c r="U37" s="350"/>
      <c r="V37" s="350"/>
      <c r="W37" s="1080"/>
      <c r="X37" s="1081"/>
      <c r="Y37" s="1081"/>
      <c r="Z37" s="1081"/>
      <c r="AA37" s="1081"/>
      <c r="AB37" s="1081"/>
      <c r="AC37" s="1081"/>
      <c r="AD37" s="1081"/>
      <c r="AE37" s="1081"/>
      <c r="AF37" s="1081"/>
      <c r="AG37" s="1081"/>
      <c r="AH37" s="1081"/>
      <c r="AI37" s="1081"/>
      <c r="AJ37" s="1081"/>
      <c r="AK37" s="1081"/>
      <c r="AL37" s="1081"/>
      <c r="AM37" s="1081"/>
      <c r="AN37" s="1081"/>
      <c r="AO37" s="1081"/>
      <c r="AP37" s="1081"/>
      <c r="AQ37" s="1081"/>
      <c r="AR37" s="1081"/>
      <c r="AS37" s="1081"/>
      <c r="AT37" s="1081"/>
      <c r="AU37" s="1082"/>
      <c r="BT37" s="159"/>
    </row>
    <row r="38" spans="2:163" ht="19.899999999999999" customHeight="1" x14ac:dyDescent="0.25">
      <c r="B38" s="983"/>
      <c r="C38" s="1362">
        <f t="shared" si="1"/>
        <v>34</v>
      </c>
      <c r="D38" s="353"/>
      <c r="E38" s="349"/>
      <c r="F38" s="349"/>
      <c r="G38" s="562"/>
      <c r="W38" s="1080"/>
      <c r="X38" s="1081"/>
      <c r="Y38" s="1081"/>
      <c r="Z38" s="1081"/>
      <c r="AA38" s="1081"/>
      <c r="AB38" s="1081"/>
      <c r="AC38" s="1081"/>
      <c r="AD38" s="1081"/>
      <c r="AE38" s="1081"/>
      <c r="AF38" s="1081"/>
      <c r="AG38" s="1081"/>
      <c r="AH38" s="1081"/>
      <c r="AI38" s="1081"/>
      <c r="AJ38" s="1081"/>
      <c r="AK38" s="1081"/>
      <c r="AL38" s="1081"/>
      <c r="AM38" s="1081"/>
      <c r="AN38" s="1081"/>
      <c r="AO38" s="1081"/>
      <c r="AP38" s="1081"/>
      <c r="AQ38" s="1081"/>
      <c r="AR38" s="1081"/>
      <c r="AS38" s="1081"/>
      <c r="AT38" s="1081"/>
      <c r="AU38" s="108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983"/>
      <c r="C39" s="1362">
        <f t="shared" si="1"/>
        <v>35</v>
      </c>
      <c r="D39" s="353"/>
      <c r="E39" s="349"/>
      <c r="F39" s="349"/>
      <c r="G39" s="562"/>
      <c r="W39" s="1080"/>
      <c r="X39" s="1081"/>
      <c r="Y39" s="1081"/>
      <c r="Z39" s="1081"/>
      <c r="AA39" s="1081"/>
      <c r="AB39" s="1081"/>
      <c r="AC39" s="1081"/>
      <c r="AD39" s="1081"/>
      <c r="AE39" s="1081"/>
      <c r="AF39" s="1081"/>
      <c r="AG39" s="1081"/>
      <c r="AH39" s="1081"/>
      <c r="AI39" s="1081"/>
      <c r="AJ39" s="1081"/>
      <c r="AK39" s="1081"/>
      <c r="AL39" s="1081"/>
      <c r="AM39" s="1081"/>
      <c r="AN39" s="1081"/>
      <c r="AO39" s="1081"/>
      <c r="AP39" s="1081"/>
      <c r="AQ39" s="1081"/>
      <c r="AR39" s="1081"/>
      <c r="AS39" s="1081"/>
      <c r="AT39" s="1081"/>
      <c r="AU39" s="108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983"/>
      <c r="C40" s="1362">
        <f t="shared" si="1"/>
        <v>36</v>
      </c>
      <c r="D40" s="353"/>
      <c r="E40" s="349"/>
      <c r="F40" s="349"/>
      <c r="G40" s="562"/>
      <c r="W40" s="1080"/>
      <c r="X40" s="1081"/>
      <c r="Y40" s="1081"/>
      <c r="Z40" s="1081"/>
      <c r="AA40" s="1081"/>
      <c r="AB40" s="1081"/>
      <c r="AC40" s="1081"/>
      <c r="AD40" s="1081"/>
      <c r="AE40" s="1081"/>
      <c r="AF40" s="1081"/>
      <c r="AG40" s="1081"/>
      <c r="AH40" s="1081"/>
      <c r="AI40" s="1081"/>
      <c r="AJ40" s="1081"/>
      <c r="AK40" s="1081"/>
      <c r="AL40" s="1081"/>
      <c r="AM40" s="1081"/>
      <c r="AN40" s="1081"/>
      <c r="AO40" s="1081"/>
      <c r="AP40" s="1081"/>
      <c r="AQ40" s="1081"/>
      <c r="AR40" s="1081"/>
      <c r="AS40" s="1081"/>
      <c r="AT40" s="1081"/>
      <c r="AU40" s="108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983"/>
      <c r="C41" s="1362">
        <f t="shared" si="1"/>
        <v>37</v>
      </c>
      <c r="D41" s="353"/>
      <c r="E41" s="349"/>
      <c r="F41" s="349"/>
      <c r="G41" s="562"/>
      <c r="W41" s="1080"/>
      <c r="X41" s="1081"/>
      <c r="Y41" s="1081"/>
      <c r="Z41" s="1081"/>
      <c r="AA41" s="1081"/>
      <c r="AB41" s="1081"/>
      <c r="AC41" s="1081"/>
      <c r="AD41" s="1081"/>
      <c r="AE41" s="1081"/>
      <c r="AF41" s="1081"/>
      <c r="AG41" s="1081"/>
      <c r="AH41" s="1081"/>
      <c r="AI41" s="1081"/>
      <c r="AJ41" s="1081"/>
      <c r="AK41" s="1081"/>
      <c r="AL41" s="1081"/>
      <c r="AM41" s="1081"/>
      <c r="AN41" s="1081"/>
      <c r="AO41" s="1081"/>
      <c r="AP41" s="1081"/>
      <c r="AQ41" s="1081"/>
      <c r="AR41" s="1081"/>
      <c r="AS41" s="1081"/>
      <c r="AT41" s="1081"/>
      <c r="AU41" s="108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983"/>
      <c r="C42" s="1362">
        <f t="shared" si="1"/>
        <v>38</v>
      </c>
      <c r="D42" s="353"/>
      <c r="E42" s="349"/>
      <c r="F42" s="349"/>
      <c r="G42" s="562"/>
      <c r="W42" s="1083"/>
      <c r="X42" s="1084"/>
      <c r="Y42" s="1084"/>
      <c r="Z42" s="1084"/>
      <c r="AA42" s="1084"/>
      <c r="AB42" s="1084"/>
      <c r="AC42" s="1084"/>
      <c r="AD42" s="1084"/>
      <c r="AE42" s="1084"/>
      <c r="AF42" s="1084"/>
      <c r="AG42" s="1084"/>
      <c r="AH42" s="1084"/>
      <c r="AI42" s="1084"/>
      <c r="AJ42" s="1084"/>
      <c r="AK42" s="1084"/>
      <c r="AL42" s="1084"/>
      <c r="AM42" s="1084"/>
      <c r="AN42" s="1084"/>
      <c r="AO42" s="1084"/>
      <c r="AP42" s="1084"/>
      <c r="AQ42" s="1084"/>
      <c r="AR42" s="1084"/>
      <c r="AS42" s="1084"/>
      <c r="AT42" s="1084"/>
      <c r="AU42" s="108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983"/>
      <c r="C43" s="1362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984"/>
      <c r="C44" s="1363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973" t="s">
        <v>276</v>
      </c>
      <c r="C45" s="1358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4" t="s">
        <v>326</v>
      </c>
      <c r="AN45" s="1104"/>
      <c r="AO45" s="1104"/>
      <c r="AP45" s="1104"/>
      <c r="AQ45" s="1104"/>
      <c r="AR45" s="1104"/>
      <c r="AS45" s="1104"/>
      <c r="AT45" s="1104"/>
      <c r="AU45" s="1104"/>
      <c r="AV45" s="1104"/>
      <c r="AW45" s="1104"/>
      <c r="AX45" s="1104"/>
      <c r="AY45" s="1104"/>
      <c r="AZ45" s="1104"/>
      <c r="BA45" s="1104"/>
      <c r="BB45" s="1104"/>
      <c r="BC45" s="1104"/>
      <c r="BD45" s="1104"/>
      <c r="BE45" s="1104"/>
      <c r="BF45" s="1104"/>
      <c r="BG45" s="1104"/>
      <c r="BH45" s="1104"/>
      <c r="BI45" s="1104"/>
      <c r="BJ45" s="1104"/>
      <c r="BK45" s="1104"/>
      <c r="BL45" s="1104"/>
      <c r="BM45" s="1104"/>
      <c r="BN45" s="1104"/>
      <c r="BO45" s="1104"/>
      <c r="BP45" s="1104"/>
      <c r="BQ45" s="1104"/>
      <c r="BR45" s="586"/>
      <c r="BS45" s="589"/>
      <c r="BT45" s="159"/>
    </row>
    <row r="46" spans="2:163" ht="19.899999999999999" customHeight="1" x14ac:dyDescent="0.25">
      <c r="B46" s="974"/>
      <c r="C46" s="1358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4"/>
      <c r="AN46" s="1104"/>
      <c r="AO46" s="1104"/>
      <c r="AP46" s="1104"/>
      <c r="AQ46" s="1104"/>
      <c r="AR46" s="1104"/>
      <c r="AS46" s="1104"/>
      <c r="AT46" s="1104"/>
      <c r="AU46" s="1104"/>
      <c r="AV46" s="1104"/>
      <c r="AW46" s="1104"/>
      <c r="AX46" s="1104"/>
      <c r="AY46" s="1104"/>
      <c r="AZ46" s="1104"/>
      <c r="BA46" s="1104"/>
      <c r="BB46" s="1104"/>
      <c r="BC46" s="1104"/>
      <c r="BD46" s="1104"/>
      <c r="BE46" s="1104"/>
      <c r="BF46" s="1104"/>
      <c r="BG46" s="1104"/>
      <c r="BH46" s="1104"/>
      <c r="BI46" s="1104"/>
      <c r="BJ46" s="1104"/>
      <c r="BK46" s="1104"/>
      <c r="BL46" s="1104"/>
      <c r="BM46" s="1104"/>
      <c r="BN46" s="1104"/>
      <c r="BO46" s="1104"/>
      <c r="BP46" s="1104"/>
      <c r="BQ46" s="1104"/>
      <c r="BR46" s="572"/>
      <c r="BS46" s="590"/>
      <c r="BT46" s="159"/>
    </row>
    <row r="47" spans="2:163" ht="19.899999999999999" customHeight="1" x14ac:dyDescent="0.25">
      <c r="B47" s="974"/>
      <c r="C47" s="1358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4"/>
      <c r="AN47" s="1104"/>
      <c r="AO47" s="1104"/>
      <c r="AP47" s="1104"/>
      <c r="AQ47" s="1104"/>
      <c r="AR47" s="1104"/>
      <c r="AS47" s="1104"/>
      <c r="AT47" s="1104"/>
      <c r="AU47" s="1104"/>
      <c r="AV47" s="1104"/>
      <c r="AW47" s="1104"/>
      <c r="AX47" s="1104"/>
      <c r="AY47" s="1104"/>
      <c r="AZ47" s="1104"/>
      <c r="BA47" s="1104"/>
      <c r="BB47" s="1104"/>
      <c r="BC47" s="1104"/>
      <c r="BD47" s="1104"/>
      <c r="BE47" s="1104"/>
      <c r="BF47" s="1104"/>
      <c r="BG47" s="1104"/>
      <c r="BH47" s="1104"/>
      <c r="BI47" s="1104"/>
      <c r="BJ47" s="1104"/>
      <c r="BK47" s="1104"/>
      <c r="BL47" s="1104"/>
      <c r="BM47" s="1104"/>
      <c r="BN47" s="1104"/>
      <c r="BO47" s="1104"/>
      <c r="BP47" s="1104"/>
      <c r="BQ47" s="1104"/>
      <c r="BR47" s="572"/>
      <c r="BS47" s="590"/>
      <c r="BT47" s="159"/>
    </row>
    <row r="48" spans="2:163" ht="19.899999999999999" customHeight="1" x14ac:dyDescent="0.25">
      <c r="B48" s="974"/>
      <c r="C48" s="1358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4"/>
      <c r="AN48" s="1104"/>
      <c r="AO48" s="1104"/>
      <c r="AP48" s="1104"/>
      <c r="AQ48" s="1104"/>
      <c r="AR48" s="1104"/>
      <c r="AS48" s="1104"/>
      <c r="AT48" s="1104"/>
      <c r="AU48" s="1104"/>
      <c r="AV48" s="1104"/>
      <c r="AW48" s="1104"/>
      <c r="AX48" s="1104"/>
      <c r="AY48" s="1104"/>
      <c r="AZ48" s="1104"/>
      <c r="BA48" s="1104"/>
      <c r="BB48" s="1104"/>
      <c r="BC48" s="1104"/>
      <c r="BD48" s="1104"/>
      <c r="BE48" s="1104"/>
      <c r="BF48" s="1104"/>
      <c r="BG48" s="1104"/>
      <c r="BH48" s="1104"/>
      <c r="BI48" s="1104"/>
      <c r="BJ48" s="1104"/>
      <c r="BK48" s="1104"/>
      <c r="BL48" s="1104"/>
      <c r="BM48" s="1104"/>
      <c r="BN48" s="1104"/>
      <c r="BO48" s="1104"/>
      <c r="BP48" s="1104"/>
      <c r="BQ48" s="1104"/>
      <c r="BR48" s="572"/>
      <c r="BS48" s="590"/>
      <c r="BT48" s="159"/>
    </row>
    <row r="49" spans="2:163" ht="19.899999999999999" customHeight="1" x14ac:dyDescent="0.25">
      <c r="B49" s="974"/>
      <c r="C49" s="1358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  <c r="AZ49" s="1104"/>
      <c r="BA49" s="1104"/>
      <c r="BB49" s="1104"/>
      <c r="BC49" s="1104"/>
      <c r="BD49" s="1104"/>
      <c r="BE49" s="1104"/>
      <c r="BF49" s="1104"/>
      <c r="BG49" s="1104"/>
      <c r="BH49" s="1104"/>
      <c r="BI49" s="1104"/>
      <c r="BJ49" s="1104"/>
      <c r="BK49" s="1104"/>
      <c r="BL49" s="1104"/>
      <c r="BM49" s="1104"/>
      <c r="BN49" s="1104"/>
      <c r="BO49" s="1104"/>
      <c r="BP49" s="1104"/>
      <c r="BQ49" s="1104"/>
      <c r="BR49" s="572"/>
      <c r="BS49" s="590"/>
      <c r="BT49" s="159"/>
    </row>
    <row r="50" spans="2:163" ht="19.899999999999999" customHeight="1" x14ac:dyDescent="0.25">
      <c r="B50" s="974"/>
      <c r="C50" s="1358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4"/>
      <c r="AN50" s="1104"/>
      <c r="AO50" s="1104"/>
      <c r="AP50" s="1104"/>
      <c r="AQ50" s="1104"/>
      <c r="AR50" s="1104"/>
      <c r="AS50" s="1104"/>
      <c r="AT50" s="1104"/>
      <c r="AU50" s="1104"/>
      <c r="AV50" s="1104"/>
      <c r="AW50" s="1104"/>
      <c r="AX50" s="1104"/>
      <c r="AY50" s="1104"/>
      <c r="AZ50" s="1104"/>
      <c r="BA50" s="1104"/>
      <c r="BB50" s="1104"/>
      <c r="BC50" s="1104"/>
      <c r="BD50" s="1104"/>
      <c r="BE50" s="1104"/>
      <c r="BF50" s="1104"/>
      <c r="BG50" s="1104"/>
      <c r="BH50" s="1104"/>
      <c r="BI50" s="1104"/>
      <c r="BJ50" s="1104"/>
      <c r="BK50" s="1104"/>
      <c r="BL50" s="1104"/>
      <c r="BM50" s="1104"/>
      <c r="BN50" s="1104"/>
      <c r="BO50" s="1104"/>
      <c r="BP50" s="1104"/>
      <c r="BQ50" s="1104"/>
      <c r="BR50" s="572"/>
      <c r="BS50" s="590"/>
      <c r="BT50" s="159"/>
    </row>
    <row r="51" spans="2:163" ht="19.899999999999999" customHeight="1" x14ac:dyDescent="0.25">
      <c r="B51" s="974"/>
      <c r="C51" s="1358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4"/>
      <c r="AN51" s="1104"/>
      <c r="AO51" s="1104"/>
      <c r="AP51" s="1104"/>
      <c r="AQ51" s="1104"/>
      <c r="AR51" s="1104"/>
      <c r="AS51" s="1104"/>
      <c r="AT51" s="1104"/>
      <c r="AU51" s="1104"/>
      <c r="AV51" s="1104"/>
      <c r="AW51" s="1104"/>
      <c r="AX51" s="1104"/>
      <c r="AY51" s="1104"/>
      <c r="AZ51" s="1104"/>
      <c r="BA51" s="1104"/>
      <c r="BB51" s="1104"/>
      <c r="BC51" s="1104"/>
      <c r="BD51" s="1104"/>
      <c r="BE51" s="1104"/>
      <c r="BF51" s="1104"/>
      <c r="BG51" s="1104"/>
      <c r="BH51" s="1104"/>
      <c r="BI51" s="1104"/>
      <c r="BJ51" s="1104"/>
      <c r="BK51" s="1104"/>
      <c r="BL51" s="1104"/>
      <c r="BM51" s="1104"/>
      <c r="BN51" s="1104"/>
      <c r="BO51" s="1104"/>
      <c r="BP51" s="1104"/>
      <c r="BQ51" s="1104"/>
      <c r="BR51" s="572"/>
      <c r="BS51" s="590"/>
      <c r="BT51" s="159"/>
    </row>
    <row r="52" spans="2:163" ht="19.899999999999999" customHeight="1" x14ac:dyDescent="0.25">
      <c r="B52" s="974"/>
      <c r="C52" s="1358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4"/>
      <c r="AN52" s="1104"/>
      <c r="AO52" s="1104"/>
      <c r="AP52" s="1104"/>
      <c r="AQ52" s="1104"/>
      <c r="AR52" s="1104"/>
      <c r="AS52" s="1104"/>
      <c r="AT52" s="1104"/>
      <c r="AU52" s="1104"/>
      <c r="AV52" s="1104"/>
      <c r="AW52" s="1104"/>
      <c r="AX52" s="1104"/>
      <c r="AY52" s="1104"/>
      <c r="AZ52" s="1104"/>
      <c r="BA52" s="1104"/>
      <c r="BB52" s="1104"/>
      <c r="BC52" s="1104"/>
      <c r="BD52" s="1104"/>
      <c r="BE52" s="1104"/>
      <c r="BF52" s="1104"/>
      <c r="BG52" s="1104"/>
      <c r="BH52" s="1104"/>
      <c r="BI52" s="1104"/>
      <c r="BJ52" s="1104"/>
      <c r="BK52" s="1104"/>
      <c r="BL52" s="1104"/>
      <c r="BM52" s="1104"/>
      <c r="BN52" s="1104"/>
      <c r="BO52" s="1104"/>
      <c r="BP52" s="1104"/>
      <c r="BQ52" s="1104"/>
      <c r="BR52" s="572"/>
      <c r="BS52" s="590"/>
      <c r="BT52" s="159"/>
    </row>
    <row r="53" spans="2:163" ht="19.899999999999999" customHeight="1" x14ac:dyDescent="0.25">
      <c r="B53" s="974"/>
      <c r="C53" s="1358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4"/>
      <c r="AN53" s="1104"/>
      <c r="AO53" s="1104"/>
      <c r="AP53" s="1104"/>
      <c r="AQ53" s="1104"/>
      <c r="AR53" s="1104"/>
      <c r="AS53" s="1104"/>
      <c r="AT53" s="1104"/>
      <c r="AU53" s="1104"/>
      <c r="AV53" s="1104"/>
      <c r="AW53" s="1104"/>
      <c r="AX53" s="1104"/>
      <c r="AY53" s="1104"/>
      <c r="AZ53" s="1104"/>
      <c r="BA53" s="1104"/>
      <c r="BB53" s="1104"/>
      <c r="BC53" s="1104"/>
      <c r="BD53" s="1104"/>
      <c r="BE53" s="1104"/>
      <c r="BF53" s="1104"/>
      <c r="BG53" s="1104"/>
      <c r="BH53" s="1104"/>
      <c r="BI53" s="1104"/>
      <c r="BJ53" s="1104"/>
      <c r="BK53" s="1104"/>
      <c r="BL53" s="1104"/>
      <c r="BM53" s="1104"/>
      <c r="BN53" s="1104"/>
      <c r="BO53" s="1104"/>
      <c r="BP53" s="1104"/>
      <c r="BQ53" s="1104"/>
      <c r="BR53" s="572"/>
      <c r="BS53" s="590"/>
      <c r="BT53" s="159"/>
    </row>
    <row r="54" spans="2:163" ht="19.899999999999999" customHeight="1" x14ac:dyDescent="0.25">
      <c r="B54" s="974"/>
      <c r="C54" s="1358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4"/>
      <c r="AN54" s="1104"/>
      <c r="AO54" s="1104"/>
      <c r="AP54" s="1104"/>
      <c r="AQ54" s="1104"/>
      <c r="AR54" s="1104"/>
      <c r="AS54" s="1104"/>
      <c r="AT54" s="1104"/>
      <c r="AU54" s="1104"/>
      <c r="AV54" s="1104"/>
      <c r="AW54" s="1104"/>
      <c r="AX54" s="1104"/>
      <c r="AY54" s="1104"/>
      <c r="AZ54" s="1104"/>
      <c r="BA54" s="1104"/>
      <c r="BB54" s="1104"/>
      <c r="BC54" s="1104"/>
      <c r="BD54" s="1104"/>
      <c r="BE54" s="1104"/>
      <c r="BF54" s="1104"/>
      <c r="BG54" s="1104"/>
      <c r="BH54" s="1104"/>
      <c r="BI54" s="1104"/>
      <c r="BJ54" s="1104"/>
      <c r="BK54" s="1104"/>
      <c r="BL54" s="1104"/>
      <c r="BM54" s="1104"/>
      <c r="BN54" s="1104"/>
      <c r="BO54" s="1104"/>
      <c r="BP54" s="1104"/>
      <c r="BQ54" s="1104"/>
      <c r="BR54" s="572"/>
      <c r="BS54" s="590"/>
      <c r="BT54" s="159"/>
    </row>
    <row r="55" spans="2:163" ht="19.899999999999999" customHeight="1" x14ac:dyDescent="0.25">
      <c r="B55" s="974"/>
      <c r="C55" s="1358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4"/>
      <c r="AN55" s="1104"/>
      <c r="AO55" s="1104"/>
      <c r="AP55" s="1104"/>
      <c r="AQ55" s="1104"/>
      <c r="AR55" s="1104"/>
      <c r="AS55" s="1104"/>
      <c r="AT55" s="1104"/>
      <c r="AU55" s="1104"/>
      <c r="AV55" s="1104"/>
      <c r="AW55" s="1104"/>
      <c r="AX55" s="1104"/>
      <c r="AY55" s="1104"/>
      <c r="AZ55" s="1104"/>
      <c r="BA55" s="1104"/>
      <c r="BB55" s="1104"/>
      <c r="BC55" s="1104"/>
      <c r="BD55" s="1104"/>
      <c r="BE55" s="1104"/>
      <c r="BF55" s="1104"/>
      <c r="BG55" s="1104"/>
      <c r="BH55" s="1104"/>
      <c r="BI55" s="1104"/>
      <c r="BJ55" s="1104"/>
      <c r="BK55" s="1104"/>
      <c r="BL55" s="1104"/>
      <c r="BM55" s="1104"/>
      <c r="BN55" s="1104"/>
      <c r="BO55" s="1104"/>
      <c r="BP55" s="1104"/>
      <c r="BQ55" s="1104"/>
      <c r="BR55" s="572"/>
      <c r="BS55" s="590"/>
      <c r="BT55" s="159"/>
    </row>
    <row r="56" spans="2:163" ht="19.899999999999999" customHeight="1" x14ac:dyDescent="0.25">
      <c r="B56" s="974"/>
      <c r="C56" s="1358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4"/>
      <c r="AN56" s="1104"/>
      <c r="AO56" s="1104"/>
      <c r="AP56" s="1104"/>
      <c r="AQ56" s="1104"/>
      <c r="AR56" s="1104"/>
      <c r="AS56" s="1104"/>
      <c r="AT56" s="1104"/>
      <c r="AU56" s="1104"/>
      <c r="AV56" s="1104"/>
      <c r="AW56" s="1104"/>
      <c r="AX56" s="1104"/>
      <c r="AY56" s="1104"/>
      <c r="AZ56" s="1104"/>
      <c r="BA56" s="1104"/>
      <c r="BB56" s="1104"/>
      <c r="BC56" s="1104"/>
      <c r="BD56" s="1104"/>
      <c r="BE56" s="1104"/>
      <c r="BF56" s="1104"/>
      <c r="BG56" s="1104"/>
      <c r="BH56" s="1104"/>
      <c r="BI56" s="1104"/>
      <c r="BJ56" s="1104"/>
      <c r="BK56" s="1104"/>
      <c r="BL56" s="1104"/>
      <c r="BM56" s="1104"/>
      <c r="BN56" s="1104"/>
      <c r="BO56" s="1104"/>
      <c r="BP56" s="1104"/>
      <c r="BQ56" s="1104"/>
      <c r="BR56" s="572"/>
      <c r="BS56" s="590"/>
      <c r="BT56" s="159"/>
    </row>
    <row r="57" spans="2:163" ht="19.899999999999999" customHeight="1" x14ac:dyDescent="0.25">
      <c r="B57" s="974"/>
      <c r="C57" s="1358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4"/>
      <c r="AN57" s="1104"/>
      <c r="AO57" s="1104"/>
      <c r="AP57" s="1104"/>
      <c r="AQ57" s="1104"/>
      <c r="AR57" s="1104"/>
      <c r="AS57" s="1104"/>
      <c r="AT57" s="1104"/>
      <c r="AU57" s="1104"/>
      <c r="AV57" s="1104"/>
      <c r="AW57" s="1104"/>
      <c r="AX57" s="1104"/>
      <c r="AY57" s="1104"/>
      <c r="AZ57" s="1104"/>
      <c r="BA57" s="1104"/>
      <c r="BB57" s="1104"/>
      <c r="BC57" s="1104"/>
      <c r="BD57" s="1104"/>
      <c r="BE57" s="1104"/>
      <c r="BF57" s="1104"/>
      <c r="BG57" s="1104"/>
      <c r="BH57" s="1104"/>
      <c r="BI57" s="1104"/>
      <c r="BJ57" s="1104"/>
      <c r="BK57" s="1104"/>
      <c r="BL57" s="1104"/>
      <c r="BM57" s="1104"/>
      <c r="BN57" s="1104"/>
      <c r="BO57" s="1104"/>
      <c r="BP57" s="1104"/>
      <c r="BQ57" s="1104"/>
      <c r="BR57" s="572"/>
      <c r="BS57" s="590"/>
      <c r="BT57" s="159"/>
    </row>
    <row r="58" spans="2:163" ht="19.899999999999999" customHeight="1" x14ac:dyDescent="0.25">
      <c r="B58" s="974"/>
      <c r="C58" s="1358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4"/>
      <c r="AN58" s="1104"/>
      <c r="AO58" s="1104"/>
      <c r="AP58" s="1104"/>
      <c r="AQ58" s="1104"/>
      <c r="AR58" s="1104"/>
      <c r="AS58" s="1104"/>
      <c r="AT58" s="1104"/>
      <c r="AU58" s="1104"/>
      <c r="AV58" s="1104"/>
      <c r="AW58" s="1104"/>
      <c r="AX58" s="1104"/>
      <c r="AY58" s="1104"/>
      <c r="AZ58" s="1104"/>
      <c r="BA58" s="1104"/>
      <c r="BB58" s="1104"/>
      <c r="BC58" s="1104"/>
      <c r="BD58" s="1104"/>
      <c r="BE58" s="1104"/>
      <c r="BF58" s="1104"/>
      <c r="BG58" s="1104"/>
      <c r="BH58" s="1104"/>
      <c r="BI58" s="1104"/>
      <c r="BJ58" s="1104"/>
      <c r="BK58" s="1104"/>
      <c r="BL58" s="1104"/>
      <c r="BM58" s="1104"/>
      <c r="BN58" s="1104"/>
      <c r="BO58" s="1104"/>
      <c r="BP58" s="1104"/>
      <c r="BQ58" s="1104"/>
      <c r="BR58" s="572"/>
      <c r="BS58" s="590"/>
      <c r="BT58" s="159"/>
    </row>
    <row r="59" spans="2:163" ht="19.899999999999999" customHeight="1" x14ac:dyDescent="0.25">
      <c r="B59" s="974"/>
      <c r="C59" s="1358">
        <f t="shared" si="1"/>
        <v>55</v>
      </c>
      <c r="Q59" s="1016" t="s">
        <v>312</v>
      </c>
      <c r="R59" s="1017"/>
      <c r="S59" s="1017"/>
      <c r="T59" s="1017"/>
      <c r="U59" s="1017"/>
      <c r="V59" s="1017"/>
      <c r="W59" s="1017"/>
      <c r="X59" s="1017"/>
      <c r="Y59" s="1017"/>
      <c r="Z59" s="1017"/>
      <c r="AA59" s="1017"/>
      <c r="AB59" s="1017"/>
      <c r="AC59" s="1017"/>
      <c r="AD59" s="1017"/>
      <c r="AE59" s="1017"/>
      <c r="AF59" s="1017"/>
      <c r="AG59" s="1017"/>
      <c r="AH59" s="1017"/>
      <c r="AI59" s="1018"/>
      <c r="BS59" s="575"/>
      <c r="BT59" s="159"/>
    </row>
    <row r="60" spans="2:163" ht="19.899999999999999" customHeight="1" x14ac:dyDescent="0.25">
      <c r="B60" s="974"/>
      <c r="C60" s="1358">
        <f t="shared" si="1"/>
        <v>56</v>
      </c>
      <c r="Q60" s="978" t="s">
        <v>280</v>
      </c>
      <c r="R60" s="979"/>
      <c r="S60" s="979"/>
      <c r="T60" s="979"/>
      <c r="U60" s="979"/>
      <c r="V60" s="979"/>
      <c r="W60" s="979"/>
      <c r="X60" s="979"/>
      <c r="Y60" s="979"/>
      <c r="Z60" s="979"/>
      <c r="AA60" s="979"/>
      <c r="AB60" s="979"/>
      <c r="AC60" s="979"/>
      <c r="AD60" s="979"/>
      <c r="AE60" s="979"/>
      <c r="AF60" s="979"/>
      <c r="AG60" s="979"/>
      <c r="AH60" s="979"/>
      <c r="AI60" s="979"/>
      <c r="BT60" s="159"/>
    </row>
    <row r="61" spans="2:163" ht="19.899999999999999" customHeight="1" x14ac:dyDescent="0.25">
      <c r="B61" s="974"/>
      <c r="C61" s="1358">
        <f t="shared" si="1"/>
        <v>57</v>
      </c>
      <c r="Q61" s="978"/>
      <c r="R61" s="979"/>
      <c r="S61" s="979"/>
      <c r="T61" s="979"/>
      <c r="U61" s="979"/>
      <c r="V61" s="979"/>
      <c r="W61" s="979"/>
      <c r="X61" s="979"/>
      <c r="Y61" s="979"/>
      <c r="Z61" s="979"/>
      <c r="AA61" s="979"/>
      <c r="AB61" s="979"/>
      <c r="AC61" s="979"/>
      <c r="AD61" s="979"/>
      <c r="AE61" s="979"/>
      <c r="AF61" s="979"/>
      <c r="AG61" s="979"/>
      <c r="AH61" s="979"/>
      <c r="AI61" s="979"/>
      <c r="BT61" s="159"/>
    </row>
    <row r="62" spans="2:163" ht="19.899999999999999" customHeight="1" x14ac:dyDescent="0.25">
      <c r="B62" s="974"/>
      <c r="C62" s="1358">
        <f t="shared" si="1"/>
        <v>58</v>
      </c>
      <c r="Q62" s="978"/>
      <c r="R62" s="979"/>
      <c r="S62" s="979"/>
      <c r="T62" s="979"/>
      <c r="U62" s="979"/>
      <c r="V62" s="979"/>
      <c r="W62" s="979"/>
      <c r="X62" s="979"/>
      <c r="Y62" s="979"/>
      <c r="Z62" s="979"/>
      <c r="AA62" s="979"/>
      <c r="AB62" s="979"/>
      <c r="AC62" s="979"/>
      <c r="AD62" s="979"/>
      <c r="AE62" s="979"/>
      <c r="AF62" s="979"/>
      <c r="AG62" s="979"/>
      <c r="AH62" s="979"/>
      <c r="AI62" s="979"/>
      <c r="BT62" s="159"/>
    </row>
    <row r="63" spans="2:163" ht="19.899999999999999" customHeight="1" x14ac:dyDescent="0.25">
      <c r="B63" s="974"/>
      <c r="C63" s="1358">
        <f t="shared" si="1"/>
        <v>59</v>
      </c>
      <c r="Q63" s="978"/>
      <c r="R63" s="979"/>
      <c r="S63" s="979"/>
      <c r="T63" s="979"/>
      <c r="U63" s="979"/>
      <c r="V63" s="979"/>
      <c r="W63" s="979"/>
      <c r="X63" s="979"/>
      <c r="Y63" s="979"/>
      <c r="Z63" s="979"/>
      <c r="AA63" s="979"/>
      <c r="AB63" s="979"/>
      <c r="AC63" s="979"/>
      <c r="AD63" s="979"/>
      <c r="AE63" s="979"/>
      <c r="AF63" s="979"/>
      <c r="AG63" s="979"/>
      <c r="AH63" s="979"/>
      <c r="AI63" s="979"/>
      <c r="BT63" s="159"/>
    </row>
    <row r="64" spans="2:163" s="564" customFormat="1" ht="19.899999999999999" customHeight="1" x14ac:dyDescent="0.25">
      <c r="B64" s="975"/>
      <c r="C64" s="1359">
        <f t="shared" si="1"/>
        <v>60</v>
      </c>
      <c r="G64" s="567"/>
      <c r="L64" s="565"/>
      <c r="P64" s="565"/>
      <c r="Q64" s="980"/>
      <c r="R64" s="981"/>
      <c r="S64" s="981"/>
      <c r="T64" s="981"/>
      <c r="U64" s="981"/>
      <c r="V64" s="981"/>
      <c r="W64" s="981"/>
      <c r="X64" s="981"/>
      <c r="Y64" s="981"/>
      <c r="Z64" s="981"/>
      <c r="AA64" s="981"/>
      <c r="AB64" s="981"/>
      <c r="AC64" s="981"/>
      <c r="AD64" s="981"/>
      <c r="AE64" s="981"/>
      <c r="AF64" s="981"/>
      <c r="AG64" s="981"/>
      <c r="AH64" s="981"/>
      <c r="AI64" s="98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999" t="s">
        <v>281</v>
      </c>
      <c r="C65" s="1358">
        <f t="shared" si="1"/>
        <v>61</v>
      </c>
      <c r="P65" s="1002" t="s">
        <v>282</v>
      </c>
      <c r="Q65" s="1003"/>
      <c r="R65" s="1003"/>
      <c r="S65" s="1003"/>
      <c r="T65" s="1003"/>
      <c r="U65" s="1003"/>
      <c r="V65" s="1003"/>
      <c r="W65" s="1003"/>
      <c r="X65" s="1003"/>
      <c r="Y65" s="1003"/>
      <c r="Z65" s="1003"/>
      <c r="AA65" s="1003"/>
      <c r="AB65" s="1004"/>
      <c r="BT65" s="159"/>
    </row>
    <row r="66" spans="2:72" ht="19.899999999999999" customHeight="1" x14ac:dyDescent="0.25">
      <c r="B66" s="1000"/>
      <c r="C66" s="1358">
        <f t="shared" si="1"/>
        <v>62</v>
      </c>
      <c r="P66" s="1005"/>
      <c r="Q66" s="1006"/>
      <c r="R66" s="1006"/>
      <c r="S66" s="1006"/>
      <c r="T66" s="1006"/>
      <c r="U66" s="1006"/>
      <c r="V66" s="1006"/>
      <c r="W66" s="1006"/>
      <c r="X66" s="1006"/>
      <c r="Y66" s="1006"/>
      <c r="Z66" s="1006"/>
      <c r="AA66" s="1006"/>
      <c r="AB66" s="1007"/>
      <c r="BT66" s="159"/>
    </row>
    <row r="67" spans="2:72" ht="19.899999999999999" customHeight="1" x14ac:dyDescent="0.25">
      <c r="B67" s="1000"/>
      <c r="C67" s="1358">
        <f t="shared" si="1"/>
        <v>63</v>
      </c>
      <c r="P67" s="1005"/>
      <c r="Q67" s="1006"/>
      <c r="R67" s="1006"/>
      <c r="S67" s="1006"/>
      <c r="T67" s="1006"/>
      <c r="U67" s="1006"/>
      <c r="V67" s="1006"/>
      <c r="W67" s="1006"/>
      <c r="X67" s="1006"/>
      <c r="Y67" s="1006"/>
      <c r="Z67" s="1006"/>
      <c r="AA67" s="1006"/>
      <c r="AB67" s="1007"/>
      <c r="BT67" s="159"/>
    </row>
    <row r="68" spans="2:72" ht="19.899999999999999" customHeight="1" x14ac:dyDescent="0.25">
      <c r="B68" s="1000"/>
      <c r="C68" s="1358">
        <f t="shared" si="1"/>
        <v>64</v>
      </c>
      <c r="P68" s="1008"/>
      <c r="Q68" s="1009"/>
      <c r="R68" s="1009"/>
      <c r="S68" s="1009"/>
      <c r="T68" s="1009"/>
      <c r="U68" s="1009"/>
      <c r="V68" s="1006"/>
      <c r="W68" s="1006"/>
      <c r="X68" s="1006"/>
      <c r="Y68" s="1006"/>
      <c r="Z68" s="1006"/>
      <c r="AA68" s="1006"/>
      <c r="AB68" s="1007"/>
      <c r="BT68" s="159"/>
    </row>
    <row r="69" spans="2:72" ht="19.899999999999999" customHeight="1" x14ac:dyDescent="0.25">
      <c r="B69" s="1000"/>
      <c r="C69" s="1358">
        <f t="shared" si="1"/>
        <v>65</v>
      </c>
      <c r="V69" s="1010" t="s">
        <v>283</v>
      </c>
      <c r="W69" s="1011"/>
      <c r="X69" s="1011"/>
      <c r="Y69" s="1011"/>
      <c r="Z69" s="1011"/>
      <c r="AA69" s="1011"/>
      <c r="AB69" s="1011"/>
      <c r="AC69" s="1011"/>
      <c r="AD69" s="1011"/>
      <c r="AE69" s="1011"/>
      <c r="AF69" s="1012"/>
      <c r="AG69" s="572"/>
      <c r="BT69" s="159"/>
    </row>
    <row r="70" spans="2:72" ht="19.899999999999999" customHeight="1" x14ac:dyDescent="0.25">
      <c r="B70" s="1000"/>
      <c r="C70" s="1358">
        <f t="shared" si="1"/>
        <v>66</v>
      </c>
      <c r="S70" s="994" t="s">
        <v>284</v>
      </c>
      <c r="T70" s="990"/>
      <c r="U70" s="990"/>
      <c r="V70" s="990"/>
      <c r="W70" s="990"/>
      <c r="X70" s="990"/>
      <c r="Y70" s="990"/>
      <c r="Z70" s="990"/>
      <c r="AA70" s="990"/>
      <c r="AB70" s="990"/>
      <c r="AC70" s="990"/>
      <c r="AD70" s="990"/>
      <c r="AE70" s="990"/>
      <c r="AF70" s="990"/>
      <c r="AG70" s="991"/>
      <c r="BT70" s="159"/>
    </row>
    <row r="71" spans="2:72" ht="19.899999999999999" customHeight="1" x14ac:dyDescent="0.25">
      <c r="B71" s="1000"/>
      <c r="C71" s="1358">
        <f t="shared" si="1"/>
        <v>67</v>
      </c>
      <c r="S71" s="996"/>
      <c r="T71" s="997"/>
      <c r="U71" s="997"/>
      <c r="V71" s="997"/>
      <c r="W71" s="997"/>
      <c r="X71" s="997"/>
      <c r="Y71" s="997"/>
      <c r="Z71" s="997"/>
      <c r="AA71" s="997"/>
      <c r="AB71" s="997"/>
      <c r="AC71" s="997"/>
      <c r="AD71" s="997"/>
      <c r="AE71" s="997"/>
      <c r="AF71" s="997"/>
      <c r="AG71" s="998"/>
      <c r="AI71" s="564"/>
      <c r="AM71" s="564"/>
      <c r="AQ71" s="564"/>
      <c r="AU71" s="564"/>
      <c r="BT71" s="159"/>
    </row>
    <row r="72" spans="2:72" ht="19.899999999999999" customHeight="1" x14ac:dyDescent="0.25">
      <c r="B72" s="1000"/>
      <c r="C72" s="1358">
        <f t="shared" si="1"/>
        <v>68</v>
      </c>
      <c r="AH72" s="1101" t="s">
        <v>285</v>
      </c>
      <c r="AI72" s="991"/>
      <c r="AJ72" s="991"/>
      <c r="AK72" s="991"/>
      <c r="AL72" s="991"/>
      <c r="AM72" s="991"/>
      <c r="AN72" s="991"/>
      <c r="AO72" s="991"/>
      <c r="AP72" s="991"/>
      <c r="AQ72" s="991"/>
      <c r="AR72" s="991"/>
      <c r="AS72" s="991"/>
      <c r="AT72" s="991"/>
      <c r="AU72" s="991"/>
      <c r="BT72" s="159"/>
    </row>
    <row r="73" spans="2:72" ht="19.899999999999999" customHeight="1" x14ac:dyDescent="0.25">
      <c r="B73" s="1000"/>
      <c r="C73" s="1358">
        <f t="shared" si="1"/>
        <v>69</v>
      </c>
      <c r="AH73" s="1102"/>
      <c r="AI73" s="993"/>
      <c r="AJ73" s="993"/>
      <c r="AK73" s="993"/>
      <c r="AL73" s="993"/>
      <c r="AM73" s="993"/>
      <c r="AN73" s="993"/>
      <c r="AO73" s="993"/>
      <c r="AP73" s="993"/>
      <c r="AQ73" s="993"/>
      <c r="AR73" s="993"/>
      <c r="AS73" s="993"/>
      <c r="AT73" s="993"/>
      <c r="AU73" s="993"/>
      <c r="BT73" s="159"/>
    </row>
    <row r="74" spans="2:72" ht="19.899999999999999" customHeight="1" x14ac:dyDescent="0.25">
      <c r="B74" s="1000"/>
      <c r="C74" s="1358">
        <f t="shared" si="1"/>
        <v>70</v>
      </c>
      <c r="AH74" s="1102"/>
      <c r="AI74" s="993"/>
      <c r="AJ74" s="993"/>
      <c r="AK74" s="993"/>
      <c r="AL74" s="993"/>
      <c r="AM74" s="993"/>
      <c r="AN74" s="993"/>
      <c r="AO74" s="993"/>
      <c r="AP74" s="993"/>
      <c r="AQ74" s="993"/>
      <c r="AR74" s="993"/>
      <c r="AS74" s="993"/>
      <c r="AT74" s="993"/>
      <c r="AU74" s="993"/>
      <c r="BT74" s="159"/>
    </row>
    <row r="75" spans="2:72" ht="19.899999999999999" customHeight="1" x14ac:dyDescent="0.25">
      <c r="B75" s="1000"/>
      <c r="C75" s="1358">
        <f t="shared" si="1"/>
        <v>71</v>
      </c>
      <c r="AH75" s="1103"/>
      <c r="AI75" s="998"/>
      <c r="AJ75" s="998"/>
      <c r="AK75" s="998"/>
      <c r="AL75" s="998"/>
      <c r="AM75" s="998"/>
      <c r="AN75" s="993"/>
      <c r="AO75" s="993"/>
      <c r="AP75" s="993"/>
      <c r="AQ75" s="993"/>
      <c r="AR75" s="993"/>
      <c r="AS75" s="993"/>
      <c r="AT75" s="993"/>
      <c r="AU75" s="993"/>
      <c r="BT75" s="159"/>
    </row>
    <row r="76" spans="2:72" ht="19.899999999999999" customHeight="1" x14ac:dyDescent="0.25">
      <c r="B76" s="1000"/>
      <c r="C76" s="1358">
        <f t="shared" si="1"/>
        <v>72</v>
      </c>
      <c r="AN76" s="994" t="s">
        <v>286</v>
      </c>
      <c r="AO76" s="990"/>
      <c r="AP76" s="990"/>
      <c r="AQ76" s="990"/>
      <c r="AR76" s="990"/>
      <c r="AS76" s="990"/>
      <c r="AT76" s="990"/>
      <c r="AU76" s="990"/>
      <c r="AV76" s="990"/>
      <c r="AW76" s="990"/>
      <c r="AX76" s="990"/>
      <c r="AY76" s="990"/>
      <c r="AZ76" s="990"/>
      <c r="BA76" s="990"/>
      <c r="BB76" s="990"/>
      <c r="BC76" s="990"/>
      <c r="BD76" s="990"/>
      <c r="BE76" s="990"/>
      <c r="BF76" s="990"/>
      <c r="BG76" s="990"/>
      <c r="BH76" s="990"/>
      <c r="BI76" s="990"/>
      <c r="BJ76" s="990"/>
      <c r="BK76" s="990"/>
      <c r="BL76" s="990"/>
      <c r="BM76" s="990"/>
      <c r="BN76" s="991"/>
      <c r="BT76" s="159"/>
    </row>
    <row r="77" spans="2:72" ht="19.899999999999999" customHeight="1" x14ac:dyDescent="0.25">
      <c r="B77" s="1000"/>
      <c r="C77" s="1358">
        <f t="shared" si="1"/>
        <v>73</v>
      </c>
      <c r="AN77" s="995"/>
      <c r="AO77" s="992"/>
      <c r="AP77" s="992"/>
      <c r="AQ77" s="992"/>
      <c r="AR77" s="992"/>
      <c r="AS77" s="992"/>
      <c r="AT77" s="992"/>
      <c r="AU77" s="992"/>
      <c r="AV77" s="992"/>
      <c r="AW77" s="992"/>
      <c r="AX77" s="992"/>
      <c r="AY77" s="992"/>
      <c r="AZ77" s="992"/>
      <c r="BA77" s="992"/>
      <c r="BB77" s="992"/>
      <c r="BC77" s="992"/>
      <c r="BD77" s="992"/>
      <c r="BE77" s="992"/>
      <c r="BF77" s="992"/>
      <c r="BG77" s="992"/>
      <c r="BH77" s="992"/>
      <c r="BI77" s="992"/>
      <c r="BJ77" s="992"/>
      <c r="BK77" s="992"/>
      <c r="BL77" s="992"/>
      <c r="BM77" s="992"/>
      <c r="BN77" s="993"/>
      <c r="BT77" s="159"/>
    </row>
    <row r="78" spans="2:72" ht="19.899999999999999" customHeight="1" x14ac:dyDescent="0.25">
      <c r="B78" s="1000"/>
      <c r="C78" s="1358">
        <f t="shared" si="1"/>
        <v>74</v>
      </c>
      <c r="AN78" s="995"/>
      <c r="AO78" s="992"/>
      <c r="AP78" s="992"/>
      <c r="AQ78" s="992"/>
      <c r="AR78" s="992"/>
      <c r="AS78" s="992"/>
      <c r="AT78" s="992"/>
      <c r="AU78" s="992"/>
      <c r="AV78" s="992"/>
      <c r="AW78" s="992"/>
      <c r="AX78" s="992"/>
      <c r="AY78" s="992"/>
      <c r="AZ78" s="992"/>
      <c r="BA78" s="992"/>
      <c r="BB78" s="992"/>
      <c r="BC78" s="992"/>
      <c r="BD78" s="992"/>
      <c r="BE78" s="992"/>
      <c r="BF78" s="992"/>
      <c r="BG78" s="992"/>
      <c r="BH78" s="992"/>
      <c r="BI78" s="992"/>
      <c r="BJ78" s="992"/>
      <c r="BK78" s="992"/>
      <c r="BL78" s="992"/>
      <c r="BM78" s="992"/>
      <c r="BN78" s="993"/>
      <c r="BT78" s="159"/>
    </row>
    <row r="79" spans="2:72" ht="19.899999999999999" customHeight="1" x14ac:dyDescent="0.25">
      <c r="B79" s="1000"/>
      <c r="C79" s="1358">
        <f t="shared" si="1"/>
        <v>75</v>
      </c>
      <c r="AN79" s="996"/>
      <c r="AO79" s="997"/>
      <c r="AP79" s="997"/>
      <c r="AQ79" s="997"/>
      <c r="AR79" s="997"/>
      <c r="AS79" s="997"/>
      <c r="AT79" s="997"/>
      <c r="AU79" s="997"/>
      <c r="AV79" s="997"/>
      <c r="AW79" s="997"/>
      <c r="AX79" s="997"/>
      <c r="AY79" s="997"/>
      <c r="AZ79" s="997"/>
      <c r="BA79" s="997"/>
      <c r="BB79" s="997"/>
      <c r="BC79" s="997"/>
      <c r="BD79" s="997"/>
      <c r="BE79" s="997"/>
      <c r="BF79" s="997"/>
      <c r="BG79" s="997"/>
      <c r="BH79" s="997"/>
      <c r="BI79" s="997"/>
      <c r="BJ79" s="997"/>
      <c r="BK79" s="997"/>
      <c r="BL79" s="997"/>
      <c r="BM79" s="997"/>
      <c r="BN79" s="998"/>
      <c r="BT79" s="159"/>
    </row>
    <row r="80" spans="2:72" ht="19.899999999999999" customHeight="1" x14ac:dyDescent="0.25">
      <c r="B80" s="1000"/>
      <c r="C80" s="1358">
        <f t="shared" si="1"/>
        <v>76</v>
      </c>
      <c r="AP80" s="994" t="s">
        <v>287</v>
      </c>
      <c r="AQ80" s="990"/>
      <c r="AR80" s="990"/>
      <c r="AS80" s="990"/>
      <c r="AT80" s="990"/>
      <c r="AU80" s="990"/>
      <c r="AV80" s="990"/>
      <c r="AW80" s="990"/>
      <c r="AX80" s="990"/>
      <c r="AY80" s="990"/>
      <c r="AZ80" s="990"/>
      <c r="BA80" s="990"/>
      <c r="BB80" s="990"/>
      <c r="BC80" s="990"/>
      <c r="BD80" s="990"/>
      <c r="BE80" s="991"/>
      <c r="BT80" s="159"/>
    </row>
    <row r="81" spans="2:163" ht="19.899999999999999" customHeight="1" x14ac:dyDescent="0.25">
      <c r="B81" s="1000"/>
      <c r="C81" s="1358">
        <f t="shared" si="1"/>
        <v>77</v>
      </c>
      <c r="AP81" s="995"/>
      <c r="AQ81" s="992"/>
      <c r="AR81" s="992"/>
      <c r="AS81" s="992"/>
      <c r="AT81" s="992"/>
      <c r="AU81" s="992"/>
      <c r="AV81" s="992"/>
      <c r="AW81" s="992"/>
      <c r="AX81" s="992"/>
      <c r="AY81" s="992"/>
      <c r="AZ81" s="992"/>
      <c r="BA81" s="992"/>
      <c r="BB81" s="992"/>
      <c r="BC81" s="992"/>
      <c r="BD81" s="992"/>
      <c r="BE81" s="993"/>
      <c r="BT81" s="159"/>
    </row>
    <row r="82" spans="2:163" ht="19.899999999999999" customHeight="1" x14ac:dyDescent="0.25">
      <c r="B82" s="1000"/>
      <c r="C82" s="1358">
        <f t="shared" si="1"/>
        <v>78</v>
      </c>
      <c r="AP82" s="995"/>
      <c r="AQ82" s="992"/>
      <c r="AR82" s="992"/>
      <c r="AS82" s="992"/>
      <c r="AT82" s="992"/>
      <c r="AU82" s="992"/>
      <c r="AV82" s="992"/>
      <c r="AW82" s="992"/>
      <c r="AX82" s="992"/>
      <c r="AY82" s="992"/>
      <c r="AZ82" s="992"/>
      <c r="BA82" s="992"/>
      <c r="BB82" s="992"/>
      <c r="BC82" s="992"/>
      <c r="BD82" s="992"/>
      <c r="BE82" s="993"/>
      <c r="BT82" s="159"/>
    </row>
    <row r="83" spans="2:163" ht="19.899999999999999" customHeight="1" x14ac:dyDescent="0.25">
      <c r="B83" s="1000"/>
      <c r="C83" s="1358">
        <f t="shared" si="1"/>
        <v>79</v>
      </c>
      <c r="AP83" s="996"/>
      <c r="AQ83" s="997"/>
      <c r="AR83" s="997"/>
      <c r="AS83" s="997"/>
      <c r="AT83" s="997"/>
      <c r="AU83" s="997"/>
      <c r="AV83" s="997"/>
      <c r="AW83" s="997"/>
      <c r="AX83" s="997"/>
      <c r="AY83" s="997"/>
      <c r="AZ83" s="997"/>
      <c r="BA83" s="997"/>
      <c r="BB83" s="997"/>
      <c r="BC83" s="997"/>
      <c r="BD83" s="997"/>
      <c r="BE83" s="998"/>
      <c r="BT83" s="159"/>
    </row>
    <row r="84" spans="2:163" s="564" customFormat="1" ht="19.899999999999999" customHeight="1" x14ac:dyDescent="0.25">
      <c r="B84" s="1001"/>
      <c r="C84" s="1359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987" t="s">
        <v>288</v>
      </c>
      <c r="C85" s="1358">
        <f t="shared" si="1"/>
        <v>81</v>
      </c>
      <c r="AT85" s="990" t="s">
        <v>289</v>
      </c>
      <c r="AU85" s="990"/>
      <c r="AV85" s="990"/>
      <c r="AW85" s="990"/>
      <c r="AX85" s="990"/>
      <c r="AY85" s="990"/>
      <c r="AZ85" s="990"/>
      <c r="BA85" s="990"/>
      <c r="BB85" s="990"/>
      <c r="BC85" s="990"/>
      <c r="BD85" s="990"/>
      <c r="BE85" s="990"/>
      <c r="BF85" s="990"/>
      <c r="BG85" s="990"/>
      <c r="BH85" s="990"/>
      <c r="BI85" s="990"/>
      <c r="BJ85" s="990"/>
      <c r="BK85" s="990"/>
      <c r="BL85" s="991"/>
      <c r="BT85" s="159"/>
    </row>
    <row r="86" spans="2:163" ht="19.899999999999999" customHeight="1" x14ac:dyDescent="0.25">
      <c r="B86" s="988"/>
      <c r="C86" s="1358">
        <f t="shared" si="1"/>
        <v>82</v>
      </c>
      <c r="AT86" s="992"/>
      <c r="AU86" s="992"/>
      <c r="AV86" s="992"/>
      <c r="AW86" s="992"/>
      <c r="AX86" s="992"/>
      <c r="AY86" s="992"/>
      <c r="AZ86" s="992"/>
      <c r="BA86" s="992"/>
      <c r="BB86" s="992"/>
      <c r="BC86" s="992"/>
      <c r="BD86" s="992"/>
      <c r="BE86" s="992"/>
      <c r="BF86" s="992"/>
      <c r="BG86" s="992"/>
      <c r="BH86" s="992"/>
      <c r="BI86" s="992"/>
      <c r="BJ86" s="992"/>
      <c r="BK86" s="992"/>
      <c r="BL86" s="993"/>
      <c r="BT86" s="159"/>
    </row>
    <row r="87" spans="2:163" ht="19.899999999999999" customHeight="1" x14ac:dyDescent="0.25">
      <c r="B87" s="988"/>
      <c r="C87" s="1358">
        <f t="shared" si="1"/>
        <v>83</v>
      </c>
      <c r="AT87" s="992"/>
      <c r="AU87" s="992"/>
      <c r="AV87" s="992"/>
      <c r="AW87" s="992"/>
      <c r="AX87" s="992"/>
      <c r="AY87" s="992"/>
      <c r="AZ87" s="992"/>
      <c r="BA87" s="992"/>
      <c r="BB87" s="992"/>
      <c r="BC87" s="992"/>
      <c r="BD87" s="992"/>
      <c r="BE87" s="992"/>
      <c r="BF87" s="992"/>
      <c r="BG87" s="992"/>
      <c r="BH87" s="992"/>
      <c r="BI87" s="992"/>
      <c r="BJ87" s="992"/>
      <c r="BK87" s="992"/>
      <c r="BL87" s="993"/>
      <c r="BT87" s="159"/>
    </row>
    <row r="88" spans="2:163" ht="19.899999999999999" customHeight="1" x14ac:dyDescent="0.25">
      <c r="B88" s="988"/>
      <c r="C88" s="1358">
        <f t="shared" si="1"/>
        <v>84</v>
      </c>
      <c r="AT88" s="992"/>
      <c r="AU88" s="992"/>
      <c r="AV88" s="992"/>
      <c r="AW88" s="992"/>
      <c r="AX88" s="992"/>
      <c r="AY88" s="992"/>
      <c r="AZ88" s="992"/>
      <c r="BA88" s="992"/>
      <c r="BB88" s="992"/>
      <c r="BC88" s="992"/>
      <c r="BD88" s="992"/>
      <c r="BE88" s="992"/>
      <c r="BF88" s="992"/>
      <c r="BG88" s="992"/>
      <c r="BH88" s="992"/>
      <c r="BI88" s="992"/>
      <c r="BJ88" s="992"/>
      <c r="BK88" s="992"/>
      <c r="BL88" s="993"/>
      <c r="BT88" s="159"/>
    </row>
    <row r="89" spans="2:163" ht="19.899999999999999" customHeight="1" x14ac:dyDescent="0.25">
      <c r="B89" s="988"/>
      <c r="C89" s="1358">
        <f t="shared" si="1"/>
        <v>85</v>
      </c>
      <c r="AH89" s="994" t="s">
        <v>291</v>
      </c>
      <c r="AI89" s="990"/>
      <c r="AJ89" s="990"/>
      <c r="AK89" s="990"/>
      <c r="AL89" s="990"/>
      <c r="AM89" s="990"/>
      <c r="AN89" s="990"/>
      <c r="AO89" s="990"/>
      <c r="AP89" s="990"/>
      <c r="AQ89" s="990"/>
      <c r="AR89" s="990"/>
      <c r="AS89" s="990"/>
      <c r="AT89" s="990"/>
      <c r="AU89" s="990"/>
      <c r="AV89" s="990"/>
      <c r="AW89" s="990"/>
      <c r="AX89" s="990"/>
      <c r="AY89" s="991"/>
      <c r="BT89" s="159"/>
    </row>
    <row r="90" spans="2:163" ht="19.899999999999999" customHeight="1" x14ac:dyDescent="0.25">
      <c r="B90" s="988"/>
      <c r="C90" s="1358">
        <f t="shared" si="1"/>
        <v>86</v>
      </c>
      <c r="AH90" s="995"/>
      <c r="AI90" s="992"/>
      <c r="AJ90" s="992"/>
      <c r="AK90" s="992"/>
      <c r="AL90" s="992"/>
      <c r="AM90" s="992"/>
      <c r="AN90" s="992"/>
      <c r="AO90" s="992"/>
      <c r="AP90" s="992"/>
      <c r="AQ90" s="992"/>
      <c r="AR90" s="992"/>
      <c r="AS90" s="992"/>
      <c r="AT90" s="992"/>
      <c r="AU90" s="992"/>
      <c r="AV90" s="992"/>
      <c r="AW90" s="992"/>
      <c r="AX90" s="992"/>
      <c r="AY90" s="993"/>
      <c r="BT90" s="159"/>
    </row>
    <row r="91" spans="2:163" ht="19.899999999999999" customHeight="1" x14ac:dyDescent="0.25">
      <c r="B91" s="988"/>
      <c r="C91" s="1358">
        <f t="shared" si="1"/>
        <v>87</v>
      </c>
      <c r="AH91" s="996"/>
      <c r="AI91" s="997"/>
      <c r="AJ91" s="997"/>
      <c r="AK91" s="997"/>
      <c r="AL91" s="997"/>
      <c r="AM91" s="997"/>
      <c r="AN91" s="997"/>
      <c r="AO91" s="997"/>
      <c r="AP91" s="997"/>
      <c r="AQ91" s="997"/>
      <c r="AR91" s="997"/>
      <c r="AS91" s="997"/>
      <c r="AT91" s="997"/>
      <c r="AU91" s="997"/>
      <c r="AV91" s="997"/>
      <c r="AW91" s="997"/>
      <c r="AX91" s="997"/>
      <c r="AY91" s="998"/>
      <c r="BT91" s="159"/>
    </row>
    <row r="92" spans="2:163" ht="19.899999999999999" customHeight="1" x14ac:dyDescent="0.25">
      <c r="B92" s="988"/>
      <c r="C92" s="1358">
        <f t="shared" si="1"/>
        <v>88</v>
      </c>
      <c r="AQ92" s="995" t="s">
        <v>292</v>
      </c>
      <c r="AR92" s="992"/>
      <c r="AS92" s="992"/>
      <c r="AT92" s="992"/>
      <c r="AU92" s="992"/>
      <c r="AV92" s="992"/>
      <c r="AW92" s="992"/>
      <c r="AX92" s="992"/>
      <c r="AY92" s="992"/>
      <c r="AZ92" s="990"/>
      <c r="BA92" s="990"/>
      <c r="BB92" s="990"/>
      <c r="BC92" s="990"/>
      <c r="BD92" s="990"/>
      <c r="BE92" s="990"/>
      <c r="BF92" s="990"/>
      <c r="BG92" s="990"/>
      <c r="BH92" s="990"/>
      <c r="BI92" s="990"/>
      <c r="BJ92" s="990"/>
      <c r="BK92" s="990"/>
      <c r="BL92" s="990"/>
      <c r="BM92" s="990"/>
      <c r="BN92" s="991"/>
      <c r="BT92" s="159"/>
    </row>
    <row r="93" spans="2:163" ht="19.899999999999999" customHeight="1" x14ac:dyDescent="0.25">
      <c r="B93" s="988"/>
      <c r="C93" s="1358">
        <f t="shared" si="1"/>
        <v>89</v>
      </c>
      <c r="AQ93" s="995"/>
      <c r="AR93" s="992"/>
      <c r="AS93" s="992"/>
      <c r="AT93" s="992"/>
      <c r="AU93" s="992"/>
      <c r="AV93" s="992"/>
      <c r="AW93" s="992"/>
      <c r="AX93" s="992"/>
      <c r="AY93" s="992"/>
      <c r="AZ93" s="992"/>
      <c r="BA93" s="992"/>
      <c r="BB93" s="992"/>
      <c r="BC93" s="992"/>
      <c r="BD93" s="992"/>
      <c r="BE93" s="992"/>
      <c r="BF93" s="992"/>
      <c r="BG93" s="992"/>
      <c r="BH93" s="992"/>
      <c r="BI93" s="992"/>
      <c r="BJ93" s="992"/>
      <c r="BK93" s="992"/>
      <c r="BL93" s="992"/>
      <c r="BM93" s="992"/>
      <c r="BN93" s="993"/>
      <c r="BT93" s="159"/>
    </row>
    <row r="94" spans="2:163" ht="19.899999999999999" customHeight="1" x14ac:dyDescent="0.25">
      <c r="B94" s="988"/>
      <c r="C94" s="1358">
        <f t="shared" si="1"/>
        <v>90</v>
      </c>
      <c r="AQ94" s="995"/>
      <c r="AR94" s="992"/>
      <c r="AS94" s="992"/>
      <c r="AT94" s="992"/>
      <c r="AU94" s="992"/>
      <c r="AV94" s="992"/>
      <c r="AW94" s="992"/>
      <c r="AX94" s="992"/>
      <c r="AY94" s="992"/>
      <c r="AZ94" s="992"/>
      <c r="BA94" s="992"/>
      <c r="BB94" s="992"/>
      <c r="BC94" s="992"/>
      <c r="BD94" s="992"/>
      <c r="BE94" s="992"/>
      <c r="BF94" s="992"/>
      <c r="BG94" s="992"/>
      <c r="BH94" s="992"/>
      <c r="BI94" s="992"/>
      <c r="BJ94" s="992"/>
      <c r="BK94" s="992"/>
      <c r="BL94" s="992"/>
      <c r="BM94" s="992"/>
      <c r="BN94" s="993"/>
      <c r="BT94" s="159"/>
    </row>
    <row r="95" spans="2:163" ht="19.899999999999999" customHeight="1" x14ac:dyDescent="0.25">
      <c r="B95" s="988"/>
      <c r="C95" s="1358">
        <f t="shared" si="1"/>
        <v>91</v>
      </c>
      <c r="AQ95" s="995"/>
      <c r="AR95" s="992"/>
      <c r="AS95" s="992"/>
      <c r="AT95" s="992"/>
      <c r="AU95" s="992"/>
      <c r="AV95" s="992"/>
      <c r="AW95" s="992"/>
      <c r="AX95" s="992"/>
      <c r="AY95" s="992"/>
      <c r="AZ95" s="992"/>
      <c r="BA95" s="992"/>
      <c r="BB95" s="992"/>
      <c r="BC95" s="992"/>
      <c r="BD95" s="992"/>
      <c r="BE95" s="992"/>
      <c r="BF95" s="992"/>
      <c r="BG95" s="992"/>
      <c r="BH95" s="992"/>
      <c r="BI95" s="992"/>
      <c r="BJ95" s="992"/>
      <c r="BK95" s="992"/>
      <c r="BL95" s="992"/>
      <c r="BM95" s="992"/>
      <c r="BN95" s="993"/>
      <c r="BT95" s="159"/>
    </row>
    <row r="96" spans="2:163" ht="19.899999999999999" customHeight="1" x14ac:dyDescent="0.25">
      <c r="B96" s="988"/>
      <c r="C96" s="1358">
        <f t="shared" si="1"/>
        <v>92</v>
      </c>
      <c r="AQ96" s="996"/>
      <c r="AR96" s="997"/>
      <c r="AS96" s="997"/>
      <c r="AT96" s="997"/>
      <c r="AU96" s="997"/>
      <c r="AV96" s="997"/>
      <c r="AW96" s="997"/>
      <c r="AX96" s="997"/>
      <c r="AY96" s="997"/>
      <c r="AZ96" s="997"/>
      <c r="BA96" s="997"/>
      <c r="BB96" s="997"/>
      <c r="BC96" s="997"/>
      <c r="BD96" s="997"/>
      <c r="BE96" s="997"/>
      <c r="BF96" s="997"/>
      <c r="BG96" s="997"/>
      <c r="BH96" s="997"/>
      <c r="BI96" s="997"/>
      <c r="BJ96" s="997"/>
      <c r="BK96" s="997"/>
      <c r="BL96" s="997"/>
      <c r="BM96" s="997"/>
      <c r="BN96" s="998"/>
      <c r="BT96" s="159"/>
    </row>
    <row r="97" spans="2:163" ht="19.899999999999999" customHeight="1" x14ac:dyDescent="0.25">
      <c r="B97" s="988"/>
      <c r="C97" s="1358">
        <f t="shared" si="1"/>
        <v>93</v>
      </c>
      <c r="AM97" s="995" t="s">
        <v>319</v>
      </c>
      <c r="AN97" s="992"/>
      <c r="AO97" s="992"/>
      <c r="AP97" s="992"/>
      <c r="AQ97" s="992"/>
      <c r="AR97" s="992"/>
      <c r="AS97" s="992"/>
      <c r="AT97" s="992"/>
      <c r="AU97" s="992"/>
      <c r="AV97" s="992"/>
      <c r="AW97" s="992"/>
      <c r="AX97" s="992"/>
      <c r="BT97" s="159"/>
    </row>
    <row r="98" spans="2:163" ht="19.899999999999999" customHeight="1" x14ac:dyDescent="0.25">
      <c r="B98" s="988"/>
      <c r="C98" s="1358">
        <f t="shared" ref="C98:C162" si="2">C97+1</f>
        <v>94</v>
      </c>
      <c r="AM98" s="995"/>
      <c r="AN98" s="992"/>
      <c r="AO98" s="992"/>
      <c r="AP98" s="992"/>
      <c r="AQ98" s="992"/>
      <c r="AR98" s="992"/>
      <c r="AS98" s="992"/>
      <c r="AT98" s="992"/>
      <c r="AU98" s="992"/>
      <c r="AV98" s="992"/>
      <c r="AW98" s="992"/>
      <c r="AX98" s="992"/>
      <c r="BT98" s="159"/>
    </row>
    <row r="99" spans="2:163" ht="19.899999999999999" customHeight="1" x14ac:dyDescent="0.25">
      <c r="B99" s="988"/>
      <c r="C99" s="1358">
        <f t="shared" si="2"/>
        <v>95</v>
      </c>
      <c r="AD99" s="1107" t="s">
        <v>311</v>
      </c>
      <c r="AE99" s="1107"/>
      <c r="AF99" s="1107"/>
      <c r="AG99" s="1107"/>
      <c r="AH99" s="1107"/>
      <c r="AI99" s="1107"/>
      <c r="AJ99" s="1107"/>
      <c r="AK99" s="1107"/>
      <c r="AL99" s="1107"/>
      <c r="AM99" s="1107"/>
      <c r="AN99" s="1107"/>
      <c r="AO99" s="1107"/>
      <c r="AP99" s="1107"/>
      <c r="AQ99" s="1107"/>
      <c r="AR99" s="1107"/>
      <c r="AS99" s="1107"/>
      <c r="AT99" s="1107"/>
      <c r="AU99" s="1107"/>
      <c r="AV99" s="1107"/>
      <c r="AW99" s="1107"/>
      <c r="AX99" s="1107"/>
      <c r="AY99" s="1107"/>
      <c r="AZ99" s="1107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988"/>
      <c r="C100" s="1358">
        <f t="shared" si="2"/>
        <v>96</v>
      </c>
      <c r="AD100" s="1107"/>
      <c r="AE100" s="1107"/>
      <c r="AF100" s="1107"/>
      <c r="AG100" s="1107"/>
      <c r="AH100" s="1107"/>
      <c r="AI100" s="1107"/>
      <c r="AJ100" s="1107"/>
      <c r="AK100" s="1107"/>
      <c r="AL100" s="1107"/>
      <c r="AM100" s="1107"/>
      <c r="AN100" s="1107"/>
      <c r="AO100" s="1107"/>
      <c r="AP100" s="1107"/>
      <c r="AQ100" s="1107"/>
      <c r="AR100" s="1107"/>
      <c r="AS100" s="1107"/>
      <c r="AT100" s="1107"/>
      <c r="AU100" s="1107"/>
      <c r="AV100" s="1107"/>
      <c r="AW100" s="1107"/>
      <c r="AX100" s="1107"/>
      <c r="AY100" s="1107"/>
      <c r="AZ100" s="1107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988"/>
      <c r="C101" s="1358">
        <f t="shared" si="2"/>
        <v>97</v>
      </c>
      <c r="AD101" s="1107"/>
      <c r="AE101" s="1107"/>
      <c r="AF101" s="1107"/>
      <c r="AG101" s="1107"/>
      <c r="AH101" s="1107"/>
      <c r="AI101" s="1107"/>
      <c r="AJ101" s="1107"/>
      <c r="AK101" s="1107"/>
      <c r="AL101" s="1107"/>
      <c r="AM101" s="1107"/>
      <c r="AN101" s="1107"/>
      <c r="AO101" s="1107"/>
      <c r="AP101" s="1107"/>
      <c r="AQ101" s="1107"/>
      <c r="AR101" s="1107"/>
      <c r="AS101" s="1107"/>
      <c r="AT101" s="1107"/>
      <c r="AU101" s="1107"/>
      <c r="AV101" s="1107"/>
      <c r="AW101" s="1107"/>
      <c r="AX101" s="1107"/>
      <c r="AY101" s="1107"/>
      <c r="AZ101" s="1107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988"/>
      <c r="C102" s="1358">
        <f t="shared" si="2"/>
        <v>98</v>
      </c>
      <c r="AD102" s="1107"/>
      <c r="AE102" s="1107"/>
      <c r="AF102" s="1107"/>
      <c r="AG102" s="1107"/>
      <c r="AH102" s="1107"/>
      <c r="AI102" s="1107"/>
      <c r="AJ102" s="1107"/>
      <c r="AK102" s="1107"/>
      <c r="AL102" s="1107"/>
      <c r="AM102" s="1107"/>
      <c r="AN102" s="1107"/>
      <c r="AO102" s="1107"/>
      <c r="AP102" s="1107"/>
      <c r="AQ102" s="1107"/>
      <c r="AR102" s="1107"/>
      <c r="AS102" s="1107"/>
      <c r="AT102" s="1107"/>
      <c r="AU102" s="1107"/>
      <c r="AV102" s="1107"/>
      <c r="AW102" s="1107"/>
      <c r="AX102" s="1107"/>
      <c r="AY102" s="1107"/>
      <c r="AZ102" s="1107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988"/>
      <c r="C103" s="1358">
        <f t="shared" si="2"/>
        <v>99</v>
      </c>
      <c r="BT103" s="159"/>
    </row>
    <row r="104" spans="2:163" s="564" customFormat="1" ht="20.100000000000001" customHeight="1" x14ac:dyDescent="0.25">
      <c r="B104" s="989"/>
      <c r="C104" s="1359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061" t="s">
        <v>290</v>
      </c>
      <c r="C105" s="1358">
        <f t="shared" si="2"/>
        <v>101</v>
      </c>
      <c r="U105" s="1064" t="s">
        <v>300</v>
      </c>
      <c r="V105" s="1065"/>
      <c r="W105" s="1065"/>
      <c r="X105" s="1065"/>
      <c r="Y105" s="1065"/>
      <c r="Z105" s="1065"/>
      <c r="AA105" s="1065"/>
      <c r="AB105" s="1065"/>
      <c r="AC105" s="1065"/>
      <c r="AD105" s="1065"/>
      <c r="AE105" s="1065"/>
      <c r="AF105" s="1065"/>
      <c r="AG105" s="1065"/>
      <c r="AH105" s="1065"/>
      <c r="AI105" s="1065"/>
      <c r="AJ105" s="1065"/>
      <c r="AK105" s="1065"/>
      <c r="AL105" s="1065"/>
      <c r="AM105" s="1065"/>
      <c r="AN105" s="1065"/>
      <c r="AO105" s="1065"/>
      <c r="AP105" s="1065"/>
      <c r="AQ105" s="1065"/>
      <c r="AR105" s="1065"/>
      <c r="AS105" s="1065"/>
      <c r="AT105" s="1065"/>
      <c r="AU105" s="1065"/>
      <c r="AV105" s="1065"/>
      <c r="AW105" s="1065"/>
      <c r="AX105" s="1065"/>
      <c r="AY105" s="1065"/>
      <c r="AZ105" s="1065"/>
      <c r="BA105" s="1065"/>
      <c r="BB105" s="1065"/>
      <c r="BC105" s="1065"/>
      <c r="BD105" s="1065"/>
      <c r="BE105" s="1065"/>
      <c r="BF105" s="1065"/>
      <c r="BG105" s="1065"/>
      <c r="BH105" s="1065"/>
      <c r="BI105" s="1065"/>
      <c r="BJ105" s="1065"/>
      <c r="BK105" s="1065"/>
      <c r="BL105" s="1065"/>
      <c r="BM105" s="1065"/>
      <c r="BN105" s="1065"/>
      <c r="BO105" s="1065"/>
      <c r="BP105" s="1065"/>
      <c r="BQ105" s="1065"/>
      <c r="BR105" s="1066"/>
      <c r="BT105" s="159"/>
    </row>
    <row r="106" spans="2:163" ht="20.100000000000001" customHeight="1" x14ac:dyDescent="0.25">
      <c r="B106" s="1062"/>
      <c r="C106" s="1358">
        <f t="shared" si="2"/>
        <v>102</v>
      </c>
      <c r="U106" s="1067"/>
      <c r="V106" s="1068"/>
      <c r="W106" s="1068"/>
      <c r="X106" s="1068"/>
      <c r="Y106" s="1068"/>
      <c r="Z106" s="1068"/>
      <c r="AA106" s="1068"/>
      <c r="AB106" s="1068"/>
      <c r="AC106" s="1068"/>
      <c r="AD106" s="1068"/>
      <c r="AE106" s="1068"/>
      <c r="AF106" s="1068"/>
      <c r="AG106" s="1068"/>
      <c r="AH106" s="1068"/>
      <c r="AI106" s="1068"/>
      <c r="AJ106" s="1068"/>
      <c r="AK106" s="1068"/>
      <c r="AL106" s="1068"/>
      <c r="AM106" s="1068"/>
      <c r="AN106" s="1068"/>
      <c r="AO106" s="1068"/>
      <c r="AP106" s="1068"/>
      <c r="AQ106" s="1068"/>
      <c r="AR106" s="1068"/>
      <c r="AS106" s="1068"/>
      <c r="AT106" s="1068"/>
      <c r="AU106" s="1068"/>
      <c r="AV106" s="1068"/>
      <c r="AW106" s="1068"/>
      <c r="AX106" s="1068"/>
      <c r="AY106" s="1068"/>
      <c r="AZ106" s="1068"/>
      <c r="BA106" s="1068"/>
      <c r="BB106" s="1068"/>
      <c r="BC106" s="1068"/>
      <c r="BD106" s="1068"/>
      <c r="BE106" s="1068"/>
      <c r="BF106" s="1068"/>
      <c r="BG106" s="1068"/>
      <c r="BH106" s="1068"/>
      <c r="BI106" s="1068"/>
      <c r="BJ106" s="1068"/>
      <c r="BK106" s="1068"/>
      <c r="BL106" s="1068"/>
      <c r="BM106" s="1068"/>
      <c r="BN106" s="1068"/>
      <c r="BO106" s="1068"/>
      <c r="BP106" s="1068"/>
      <c r="BQ106" s="1068"/>
      <c r="BR106" s="1069"/>
      <c r="BT106" s="159"/>
    </row>
    <row r="107" spans="2:163" ht="20.100000000000001" customHeight="1" x14ac:dyDescent="0.25">
      <c r="B107" s="1062"/>
      <c r="C107" s="1358">
        <f t="shared" si="2"/>
        <v>103</v>
      </c>
      <c r="U107" s="1067"/>
      <c r="V107" s="1068"/>
      <c r="W107" s="1068"/>
      <c r="X107" s="1068"/>
      <c r="Y107" s="1068"/>
      <c r="Z107" s="1068"/>
      <c r="AA107" s="1068"/>
      <c r="AB107" s="1068"/>
      <c r="AC107" s="1068"/>
      <c r="AD107" s="1068"/>
      <c r="AE107" s="1068"/>
      <c r="AF107" s="1068"/>
      <c r="AG107" s="1068"/>
      <c r="AH107" s="1068"/>
      <c r="AI107" s="1068"/>
      <c r="AJ107" s="1068"/>
      <c r="AK107" s="1068"/>
      <c r="AL107" s="1068"/>
      <c r="AM107" s="1068"/>
      <c r="AN107" s="1068"/>
      <c r="AO107" s="1068"/>
      <c r="AP107" s="1068"/>
      <c r="AQ107" s="1068"/>
      <c r="AR107" s="1068"/>
      <c r="AS107" s="1068"/>
      <c r="AT107" s="1068"/>
      <c r="AU107" s="1068"/>
      <c r="AV107" s="1068"/>
      <c r="AW107" s="1068"/>
      <c r="AX107" s="1068"/>
      <c r="AY107" s="1068"/>
      <c r="AZ107" s="1068"/>
      <c r="BA107" s="1068"/>
      <c r="BB107" s="1068"/>
      <c r="BC107" s="1068"/>
      <c r="BD107" s="1068"/>
      <c r="BE107" s="1068"/>
      <c r="BF107" s="1068"/>
      <c r="BG107" s="1068"/>
      <c r="BH107" s="1068"/>
      <c r="BI107" s="1068"/>
      <c r="BJ107" s="1068"/>
      <c r="BK107" s="1068"/>
      <c r="BL107" s="1068"/>
      <c r="BM107" s="1068"/>
      <c r="BN107" s="1068"/>
      <c r="BO107" s="1068"/>
      <c r="BP107" s="1068"/>
      <c r="BQ107" s="1068"/>
      <c r="BR107" s="1069"/>
      <c r="BT107" s="159"/>
    </row>
    <row r="108" spans="2:163" ht="20.100000000000001" customHeight="1" x14ac:dyDescent="0.25">
      <c r="B108" s="1062"/>
      <c r="C108" s="1358">
        <f t="shared" si="2"/>
        <v>104</v>
      </c>
      <c r="U108" s="1067"/>
      <c r="V108" s="1068"/>
      <c r="W108" s="1068"/>
      <c r="X108" s="1068"/>
      <c r="Y108" s="1068"/>
      <c r="Z108" s="1068"/>
      <c r="AA108" s="1068"/>
      <c r="AB108" s="1068"/>
      <c r="AC108" s="1068"/>
      <c r="AD108" s="1068"/>
      <c r="AE108" s="1068"/>
      <c r="AF108" s="1068"/>
      <c r="AG108" s="1068"/>
      <c r="AH108" s="1068"/>
      <c r="AI108" s="1068"/>
      <c r="AJ108" s="1068"/>
      <c r="AK108" s="1068"/>
      <c r="AL108" s="1068"/>
      <c r="AM108" s="1068"/>
      <c r="AN108" s="1068"/>
      <c r="AO108" s="1068"/>
      <c r="AP108" s="1068"/>
      <c r="AQ108" s="1068"/>
      <c r="AR108" s="1068"/>
      <c r="AS108" s="1068"/>
      <c r="AT108" s="1068"/>
      <c r="AU108" s="1068"/>
      <c r="AV108" s="1068"/>
      <c r="AW108" s="1068"/>
      <c r="AX108" s="1068"/>
      <c r="AY108" s="1068"/>
      <c r="AZ108" s="1068"/>
      <c r="BA108" s="1068"/>
      <c r="BB108" s="1068"/>
      <c r="BC108" s="1068"/>
      <c r="BD108" s="1068"/>
      <c r="BE108" s="1068"/>
      <c r="BF108" s="1068"/>
      <c r="BG108" s="1068"/>
      <c r="BH108" s="1068"/>
      <c r="BI108" s="1068"/>
      <c r="BJ108" s="1068"/>
      <c r="BK108" s="1068"/>
      <c r="BL108" s="1068"/>
      <c r="BM108" s="1068"/>
      <c r="BN108" s="1068"/>
      <c r="BO108" s="1068"/>
      <c r="BP108" s="1068"/>
      <c r="BQ108" s="1068"/>
      <c r="BR108" s="1069"/>
      <c r="BT108" s="159"/>
    </row>
    <row r="109" spans="2:163" ht="20.100000000000001" customHeight="1" x14ac:dyDescent="0.25">
      <c r="B109" s="1062"/>
      <c r="C109" s="1358">
        <f t="shared" si="2"/>
        <v>105</v>
      </c>
      <c r="U109" s="1067"/>
      <c r="V109" s="1068"/>
      <c r="W109" s="1068"/>
      <c r="X109" s="1068"/>
      <c r="Y109" s="1068"/>
      <c r="Z109" s="1068"/>
      <c r="AA109" s="1068"/>
      <c r="AB109" s="1068"/>
      <c r="AC109" s="1068"/>
      <c r="AD109" s="1068"/>
      <c r="AE109" s="1068"/>
      <c r="AF109" s="1068"/>
      <c r="AG109" s="1068"/>
      <c r="AH109" s="1068"/>
      <c r="AI109" s="1068"/>
      <c r="AJ109" s="1068"/>
      <c r="AK109" s="1068"/>
      <c r="AL109" s="1068"/>
      <c r="AM109" s="1068"/>
      <c r="AN109" s="1068"/>
      <c r="AO109" s="1068"/>
      <c r="AP109" s="1068"/>
      <c r="AQ109" s="1068"/>
      <c r="AR109" s="1068"/>
      <c r="AS109" s="1068"/>
      <c r="AT109" s="1068"/>
      <c r="AU109" s="1068"/>
      <c r="AV109" s="1068"/>
      <c r="AW109" s="1068"/>
      <c r="AX109" s="1068"/>
      <c r="AY109" s="1068"/>
      <c r="AZ109" s="1068"/>
      <c r="BA109" s="1068"/>
      <c r="BB109" s="1068"/>
      <c r="BC109" s="1068"/>
      <c r="BD109" s="1068"/>
      <c r="BE109" s="1068"/>
      <c r="BF109" s="1068"/>
      <c r="BG109" s="1068"/>
      <c r="BH109" s="1068"/>
      <c r="BI109" s="1068"/>
      <c r="BJ109" s="1068"/>
      <c r="BK109" s="1068"/>
      <c r="BL109" s="1068"/>
      <c r="BM109" s="1068"/>
      <c r="BN109" s="1068"/>
      <c r="BO109" s="1068"/>
      <c r="BP109" s="1068"/>
      <c r="BQ109" s="1068"/>
      <c r="BR109" s="1069"/>
      <c r="BT109" s="159"/>
    </row>
    <row r="110" spans="2:163" ht="20.100000000000001" customHeight="1" x14ac:dyDescent="0.25">
      <c r="B110" s="1062"/>
      <c r="C110" s="1358">
        <f t="shared" si="2"/>
        <v>106</v>
      </c>
      <c r="U110" s="1067"/>
      <c r="V110" s="1068"/>
      <c r="W110" s="1068"/>
      <c r="X110" s="1068"/>
      <c r="Y110" s="1068"/>
      <c r="Z110" s="1068"/>
      <c r="AA110" s="1068"/>
      <c r="AB110" s="1068"/>
      <c r="AC110" s="1068"/>
      <c r="AD110" s="1068"/>
      <c r="AE110" s="1068"/>
      <c r="AF110" s="1068"/>
      <c r="AG110" s="1068"/>
      <c r="AH110" s="1068"/>
      <c r="AI110" s="1068"/>
      <c r="AJ110" s="1068"/>
      <c r="AK110" s="1068"/>
      <c r="AL110" s="1068"/>
      <c r="AM110" s="1068"/>
      <c r="AN110" s="1068"/>
      <c r="AO110" s="1068"/>
      <c r="AP110" s="1068"/>
      <c r="AQ110" s="1068"/>
      <c r="AR110" s="1068"/>
      <c r="AS110" s="1068"/>
      <c r="AT110" s="1068"/>
      <c r="AU110" s="1068"/>
      <c r="AV110" s="1068"/>
      <c r="AW110" s="1068"/>
      <c r="AX110" s="1068"/>
      <c r="AY110" s="1068"/>
      <c r="AZ110" s="1068"/>
      <c r="BA110" s="1068"/>
      <c r="BB110" s="1068"/>
      <c r="BC110" s="1068"/>
      <c r="BD110" s="1068"/>
      <c r="BE110" s="1068"/>
      <c r="BF110" s="1068"/>
      <c r="BG110" s="1068"/>
      <c r="BH110" s="1068"/>
      <c r="BI110" s="1068"/>
      <c r="BJ110" s="1068"/>
      <c r="BK110" s="1068"/>
      <c r="BL110" s="1068"/>
      <c r="BM110" s="1068"/>
      <c r="BN110" s="1068"/>
      <c r="BO110" s="1068"/>
      <c r="BP110" s="1068"/>
      <c r="BQ110" s="1068"/>
      <c r="BR110" s="1069"/>
      <c r="BT110" s="159"/>
    </row>
    <row r="111" spans="2:163" ht="20.100000000000001" customHeight="1" x14ac:dyDescent="0.25">
      <c r="B111" s="1062"/>
      <c r="C111" s="1358">
        <f t="shared" si="2"/>
        <v>107</v>
      </c>
      <c r="U111" s="1067"/>
      <c r="V111" s="1068"/>
      <c r="W111" s="1068"/>
      <c r="X111" s="1068"/>
      <c r="Y111" s="1068"/>
      <c r="Z111" s="1068"/>
      <c r="AA111" s="1068"/>
      <c r="AB111" s="1068"/>
      <c r="AC111" s="1068"/>
      <c r="AD111" s="1068"/>
      <c r="AE111" s="1068"/>
      <c r="AF111" s="1068"/>
      <c r="AG111" s="1068"/>
      <c r="AH111" s="1068"/>
      <c r="AI111" s="1068"/>
      <c r="AJ111" s="1068"/>
      <c r="AK111" s="1068"/>
      <c r="AL111" s="1068"/>
      <c r="AM111" s="1068"/>
      <c r="AN111" s="1068"/>
      <c r="AO111" s="1068"/>
      <c r="AP111" s="1068"/>
      <c r="AQ111" s="1068"/>
      <c r="AR111" s="1068"/>
      <c r="AS111" s="1068"/>
      <c r="AT111" s="1068"/>
      <c r="AU111" s="1068"/>
      <c r="AV111" s="1068"/>
      <c r="AW111" s="1068"/>
      <c r="AX111" s="1068"/>
      <c r="AY111" s="1068"/>
      <c r="AZ111" s="1068"/>
      <c r="BA111" s="1068"/>
      <c r="BB111" s="1068"/>
      <c r="BC111" s="1068"/>
      <c r="BD111" s="1068"/>
      <c r="BE111" s="1068"/>
      <c r="BF111" s="1068"/>
      <c r="BG111" s="1068"/>
      <c r="BH111" s="1068"/>
      <c r="BI111" s="1068"/>
      <c r="BJ111" s="1068"/>
      <c r="BK111" s="1068"/>
      <c r="BL111" s="1068"/>
      <c r="BM111" s="1068"/>
      <c r="BN111" s="1068"/>
      <c r="BO111" s="1068"/>
      <c r="BP111" s="1068"/>
      <c r="BQ111" s="1068"/>
      <c r="BR111" s="1069"/>
      <c r="BT111" s="159"/>
    </row>
    <row r="112" spans="2:163" ht="20.100000000000001" customHeight="1" x14ac:dyDescent="0.25">
      <c r="B112" s="1062"/>
      <c r="C112" s="1358">
        <f t="shared" si="2"/>
        <v>108</v>
      </c>
      <c r="U112" s="1067"/>
      <c r="V112" s="1068"/>
      <c r="W112" s="1068"/>
      <c r="X112" s="1068"/>
      <c r="Y112" s="1068"/>
      <c r="Z112" s="1068"/>
      <c r="AA112" s="1068"/>
      <c r="AB112" s="1068"/>
      <c r="AC112" s="1068"/>
      <c r="AD112" s="1068"/>
      <c r="AE112" s="1068"/>
      <c r="AF112" s="1068"/>
      <c r="AG112" s="1068"/>
      <c r="AH112" s="1068"/>
      <c r="AI112" s="1068"/>
      <c r="AJ112" s="1068"/>
      <c r="AK112" s="1068"/>
      <c r="AL112" s="1068"/>
      <c r="AM112" s="1068"/>
      <c r="AN112" s="1068"/>
      <c r="AO112" s="1068"/>
      <c r="AP112" s="1068"/>
      <c r="AQ112" s="1068"/>
      <c r="AR112" s="1068"/>
      <c r="AS112" s="1068"/>
      <c r="AT112" s="1068"/>
      <c r="AU112" s="1068"/>
      <c r="AV112" s="1068"/>
      <c r="AW112" s="1068"/>
      <c r="AX112" s="1068"/>
      <c r="AY112" s="1068"/>
      <c r="AZ112" s="1068"/>
      <c r="BA112" s="1068"/>
      <c r="BB112" s="1068"/>
      <c r="BC112" s="1068"/>
      <c r="BD112" s="1068"/>
      <c r="BE112" s="1068"/>
      <c r="BF112" s="1068"/>
      <c r="BG112" s="1068"/>
      <c r="BH112" s="1068"/>
      <c r="BI112" s="1068"/>
      <c r="BJ112" s="1068"/>
      <c r="BK112" s="1068"/>
      <c r="BL112" s="1068"/>
      <c r="BM112" s="1068"/>
      <c r="BN112" s="1068"/>
      <c r="BO112" s="1068"/>
      <c r="BP112" s="1068"/>
      <c r="BQ112" s="1068"/>
      <c r="BR112" s="1069"/>
      <c r="BT112" s="159"/>
    </row>
    <row r="113" spans="2:163" ht="20.100000000000001" customHeight="1" x14ac:dyDescent="0.25">
      <c r="B113" s="1062"/>
      <c r="C113" s="1358">
        <f t="shared" si="2"/>
        <v>109</v>
      </c>
      <c r="U113" s="1067"/>
      <c r="V113" s="1068"/>
      <c r="W113" s="1068"/>
      <c r="X113" s="1068"/>
      <c r="Y113" s="1068"/>
      <c r="Z113" s="1068"/>
      <c r="AA113" s="1068"/>
      <c r="AB113" s="1068"/>
      <c r="AC113" s="1068"/>
      <c r="AD113" s="1068"/>
      <c r="AE113" s="1068"/>
      <c r="AF113" s="1068"/>
      <c r="AG113" s="1068"/>
      <c r="AH113" s="1068"/>
      <c r="AI113" s="1068"/>
      <c r="AJ113" s="1068"/>
      <c r="AK113" s="1068"/>
      <c r="AL113" s="1068"/>
      <c r="AM113" s="1068"/>
      <c r="AN113" s="1068"/>
      <c r="AO113" s="1068"/>
      <c r="AP113" s="1068"/>
      <c r="AQ113" s="1068"/>
      <c r="AR113" s="1068"/>
      <c r="AS113" s="1068"/>
      <c r="AT113" s="1068"/>
      <c r="AU113" s="1068"/>
      <c r="AV113" s="1068"/>
      <c r="AW113" s="1068"/>
      <c r="AX113" s="1068"/>
      <c r="AY113" s="1068"/>
      <c r="AZ113" s="1068"/>
      <c r="BA113" s="1068"/>
      <c r="BB113" s="1068"/>
      <c r="BC113" s="1068"/>
      <c r="BD113" s="1068"/>
      <c r="BE113" s="1068"/>
      <c r="BF113" s="1068"/>
      <c r="BG113" s="1068"/>
      <c r="BH113" s="1068"/>
      <c r="BI113" s="1068"/>
      <c r="BJ113" s="1068"/>
      <c r="BK113" s="1068"/>
      <c r="BL113" s="1068"/>
      <c r="BM113" s="1068"/>
      <c r="BN113" s="1068"/>
      <c r="BO113" s="1068"/>
      <c r="BP113" s="1068"/>
      <c r="BQ113" s="1068"/>
      <c r="BR113" s="1069"/>
      <c r="BT113" s="159"/>
    </row>
    <row r="114" spans="2:163" ht="20.100000000000001" customHeight="1" x14ac:dyDescent="0.25">
      <c r="B114" s="1062"/>
      <c r="C114" s="1358">
        <f t="shared" si="2"/>
        <v>110</v>
      </c>
      <c r="U114" s="1070"/>
      <c r="V114" s="1071"/>
      <c r="W114" s="1071"/>
      <c r="X114" s="1071"/>
      <c r="Y114" s="1071"/>
      <c r="Z114" s="1071"/>
      <c r="AA114" s="1071"/>
      <c r="AB114" s="1071"/>
      <c r="AC114" s="1071"/>
      <c r="AD114" s="1071"/>
      <c r="AE114" s="1071"/>
      <c r="AF114" s="1071"/>
      <c r="AG114" s="1071"/>
      <c r="AH114" s="1071"/>
      <c r="AI114" s="1071"/>
      <c r="AJ114" s="1071"/>
      <c r="AK114" s="1071"/>
      <c r="AL114" s="1071"/>
      <c r="AM114" s="1071"/>
      <c r="AN114" s="1071"/>
      <c r="AO114" s="1071"/>
      <c r="AP114" s="1071"/>
      <c r="AQ114" s="1071"/>
      <c r="AR114" s="1071"/>
      <c r="AS114" s="1071"/>
      <c r="AT114" s="1071"/>
      <c r="AU114" s="1071"/>
      <c r="AV114" s="1071"/>
      <c r="AW114" s="1071"/>
      <c r="AX114" s="1071"/>
      <c r="AY114" s="1071"/>
      <c r="AZ114" s="1071"/>
      <c r="BA114" s="1071"/>
      <c r="BB114" s="1071"/>
      <c r="BC114" s="1071"/>
      <c r="BD114" s="1071"/>
      <c r="BE114" s="1071"/>
      <c r="BF114" s="1071"/>
      <c r="BG114" s="1071"/>
      <c r="BH114" s="1071"/>
      <c r="BI114" s="1071"/>
      <c r="BJ114" s="1071"/>
      <c r="BK114" s="1071"/>
      <c r="BL114" s="1071"/>
      <c r="BM114" s="1071"/>
      <c r="BN114" s="1071"/>
      <c r="BO114" s="1071"/>
      <c r="BP114" s="1071"/>
      <c r="BQ114" s="1071"/>
      <c r="BR114" s="1072"/>
      <c r="BT114" s="159"/>
    </row>
    <row r="115" spans="2:163" ht="20.100000000000001" customHeight="1" x14ac:dyDescent="0.25">
      <c r="B115" s="1062"/>
      <c r="C115" s="1358">
        <f t="shared" si="2"/>
        <v>111</v>
      </c>
      <c r="AI115" s="1064" t="s">
        <v>301</v>
      </c>
      <c r="AJ115" s="1065"/>
      <c r="AK115" s="1065"/>
      <c r="AL115" s="1065"/>
      <c r="AM115" s="1065"/>
      <c r="AN115" s="1065"/>
      <c r="AO115" s="1065"/>
      <c r="AP115" s="1065"/>
      <c r="AQ115" s="1065"/>
      <c r="AR115" s="1065"/>
      <c r="AS115" s="1065"/>
      <c r="AT115" s="1065"/>
      <c r="AU115" s="1065"/>
      <c r="AV115" s="1065"/>
      <c r="AW115" s="1065"/>
      <c r="AX115" s="1065"/>
      <c r="AY115" s="1065"/>
      <c r="AZ115" s="1065"/>
      <c r="BA115" s="1065"/>
      <c r="BB115" s="1065"/>
      <c r="BC115" s="106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062"/>
      <c r="C116" s="1358">
        <f t="shared" si="2"/>
        <v>112</v>
      </c>
      <c r="AI116" s="1067"/>
      <c r="AJ116" s="1068"/>
      <c r="AK116" s="1068"/>
      <c r="AL116" s="1068"/>
      <c r="AM116" s="1068"/>
      <c r="AN116" s="1068"/>
      <c r="AO116" s="1068"/>
      <c r="AP116" s="1068"/>
      <c r="AQ116" s="1068"/>
      <c r="AR116" s="1068"/>
      <c r="AS116" s="1068"/>
      <c r="AT116" s="1068"/>
      <c r="AU116" s="1068"/>
      <c r="AV116" s="1068"/>
      <c r="AW116" s="1068"/>
      <c r="AX116" s="1068"/>
      <c r="AY116" s="1068"/>
      <c r="AZ116" s="1068"/>
      <c r="BA116" s="1068"/>
      <c r="BB116" s="1068"/>
      <c r="BC116" s="106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062"/>
      <c r="C117" s="1358">
        <f t="shared" si="2"/>
        <v>113</v>
      </c>
      <c r="AI117" s="1070"/>
      <c r="AJ117" s="1071"/>
      <c r="AK117" s="1071"/>
      <c r="AL117" s="1071"/>
      <c r="AM117" s="1071"/>
      <c r="AN117" s="1071"/>
      <c r="AO117" s="1071"/>
      <c r="AP117" s="1071"/>
      <c r="AQ117" s="1071"/>
      <c r="AR117" s="1071"/>
      <c r="AS117" s="1071"/>
      <c r="AT117" s="1071"/>
      <c r="AU117" s="1071"/>
      <c r="AV117" s="1071"/>
      <c r="AW117" s="1071"/>
      <c r="AX117" s="1071"/>
      <c r="AY117" s="1071"/>
      <c r="AZ117" s="1071"/>
      <c r="BA117" s="1071"/>
      <c r="BB117" s="1071"/>
      <c r="BC117" s="107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062"/>
      <c r="C118" s="1358">
        <f t="shared" si="2"/>
        <v>114</v>
      </c>
      <c r="P118" s="1073" t="s">
        <v>302</v>
      </c>
      <c r="Q118" s="1074"/>
      <c r="R118" s="1074"/>
      <c r="S118" s="1074"/>
      <c r="T118" s="1075"/>
      <c r="U118" s="1075"/>
      <c r="V118" s="1075"/>
      <c r="W118" s="1075"/>
      <c r="X118" s="1075"/>
      <c r="Y118" s="1075"/>
      <c r="Z118" s="1075"/>
      <c r="AA118" s="1075"/>
      <c r="AB118" s="1075"/>
      <c r="AC118" s="1076"/>
      <c r="BT118" s="159"/>
    </row>
    <row r="119" spans="2:163" ht="20.100000000000001" customHeight="1" x14ac:dyDescent="0.25">
      <c r="B119" s="1062"/>
      <c r="C119" s="1358">
        <f t="shared" si="2"/>
        <v>115</v>
      </c>
      <c r="T119" s="1073" t="s">
        <v>303</v>
      </c>
      <c r="U119" s="1074"/>
      <c r="V119" s="1074"/>
      <c r="W119" s="1074"/>
      <c r="X119" s="1074"/>
      <c r="Y119" s="1074"/>
      <c r="Z119" s="1074"/>
      <c r="AA119" s="1074"/>
      <c r="AB119" s="1074"/>
      <c r="AC119" s="1074"/>
      <c r="AD119" s="1075"/>
      <c r="AE119" s="1075"/>
      <c r="AF119" s="1075"/>
      <c r="AG119" s="1075"/>
      <c r="AH119" s="1076"/>
      <c r="BT119" s="159"/>
    </row>
    <row r="120" spans="2:163" ht="20.100000000000001" customHeight="1" x14ac:dyDescent="0.25">
      <c r="B120" s="1062"/>
      <c r="C120" s="1358">
        <f t="shared" si="2"/>
        <v>116</v>
      </c>
      <c r="AD120" s="1064" t="s">
        <v>304</v>
      </c>
      <c r="AE120" s="1065"/>
      <c r="AF120" s="1065"/>
      <c r="AG120" s="1065"/>
      <c r="AH120" s="1065"/>
      <c r="AI120" s="1065"/>
      <c r="AJ120" s="1065"/>
      <c r="AK120" s="1065"/>
      <c r="AL120" s="1065"/>
      <c r="AM120" s="1065"/>
      <c r="AN120" s="1065"/>
      <c r="AO120" s="1065"/>
      <c r="AP120" s="1065"/>
      <c r="AQ120" s="1065"/>
      <c r="AR120" s="1065"/>
      <c r="AS120" s="1065"/>
      <c r="AT120" s="1065"/>
      <c r="AU120" s="1065"/>
      <c r="AV120" s="1065"/>
      <c r="AW120" s="1065"/>
      <c r="AX120" s="1065"/>
      <c r="AY120" s="1065"/>
      <c r="AZ120" s="1065"/>
      <c r="BA120" s="1065"/>
      <c r="BB120" s="1065"/>
      <c r="BC120" s="1065"/>
      <c r="BD120" s="1065"/>
      <c r="BE120" s="1065"/>
      <c r="BF120" s="1065"/>
      <c r="BG120" s="1065"/>
      <c r="BH120" s="1065"/>
      <c r="BI120" s="1065"/>
      <c r="BJ120" s="1065"/>
      <c r="BK120" s="1065"/>
      <c r="BL120" s="1065"/>
      <c r="BM120" s="1065"/>
      <c r="BN120" s="1065"/>
      <c r="BO120" s="1065"/>
      <c r="BP120" s="1065"/>
      <c r="BQ120" s="1066"/>
      <c r="BT120" s="159"/>
    </row>
    <row r="121" spans="2:163" ht="20.100000000000001" customHeight="1" x14ac:dyDescent="0.25">
      <c r="B121" s="1062"/>
      <c r="C121" s="1358">
        <f t="shared" si="2"/>
        <v>117</v>
      </c>
      <c r="AD121" s="1067"/>
      <c r="AE121" s="1068"/>
      <c r="AF121" s="1068"/>
      <c r="AG121" s="1068"/>
      <c r="AH121" s="1068"/>
      <c r="AI121" s="1068"/>
      <c r="AJ121" s="1068"/>
      <c r="AK121" s="1068"/>
      <c r="AL121" s="1068"/>
      <c r="AM121" s="1068"/>
      <c r="AN121" s="1068"/>
      <c r="AO121" s="1068"/>
      <c r="AP121" s="1068"/>
      <c r="AQ121" s="1068"/>
      <c r="AR121" s="1068"/>
      <c r="AS121" s="1068"/>
      <c r="AT121" s="1068"/>
      <c r="AU121" s="1068"/>
      <c r="AV121" s="1068"/>
      <c r="AW121" s="1068"/>
      <c r="AX121" s="1068"/>
      <c r="AY121" s="1068"/>
      <c r="AZ121" s="1068"/>
      <c r="BA121" s="1068"/>
      <c r="BB121" s="1068"/>
      <c r="BC121" s="1068"/>
      <c r="BD121" s="1068"/>
      <c r="BE121" s="1068"/>
      <c r="BF121" s="1068"/>
      <c r="BG121" s="1068"/>
      <c r="BH121" s="1068"/>
      <c r="BI121" s="1068"/>
      <c r="BJ121" s="1068"/>
      <c r="BK121" s="1068"/>
      <c r="BL121" s="1068"/>
      <c r="BM121" s="1068"/>
      <c r="BN121" s="1068"/>
      <c r="BO121" s="1068"/>
      <c r="BP121" s="1068"/>
      <c r="BQ121" s="1069"/>
      <c r="BT121" s="159"/>
    </row>
    <row r="122" spans="2:163" ht="20.100000000000001" customHeight="1" x14ac:dyDescent="0.25">
      <c r="B122" s="1062"/>
      <c r="C122" s="1358">
        <f t="shared" si="2"/>
        <v>118</v>
      </c>
      <c r="AD122" s="1067"/>
      <c r="AE122" s="1068"/>
      <c r="AF122" s="1068"/>
      <c r="AG122" s="1068"/>
      <c r="AH122" s="1071"/>
      <c r="AI122" s="1071"/>
      <c r="AJ122" s="1071"/>
      <c r="AK122" s="1071"/>
      <c r="AL122" s="1071"/>
      <c r="AM122" s="1071"/>
      <c r="AN122" s="1071"/>
      <c r="AO122" s="1071"/>
      <c r="AP122" s="1071"/>
      <c r="AQ122" s="1071"/>
      <c r="AR122" s="1071"/>
      <c r="AS122" s="1071"/>
      <c r="AT122" s="1071"/>
      <c r="AU122" s="1071"/>
      <c r="AV122" s="1071"/>
      <c r="AW122" s="1071"/>
      <c r="AX122" s="1071"/>
      <c r="AY122" s="1071"/>
      <c r="AZ122" s="1071"/>
      <c r="BA122" s="1071"/>
      <c r="BB122" s="1071"/>
      <c r="BC122" s="1071"/>
      <c r="BD122" s="1071"/>
      <c r="BE122" s="1071"/>
      <c r="BF122" s="1071"/>
      <c r="BG122" s="1071"/>
      <c r="BH122" s="1071"/>
      <c r="BI122" s="1071"/>
      <c r="BJ122" s="1071"/>
      <c r="BK122" s="1071"/>
      <c r="BL122" s="1071"/>
      <c r="BM122" s="1071"/>
      <c r="BN122" s="1071"/>
      <c r="BO122" s="1071"/>
      <c r="BP122" s="1071"/>
      <c r="BQ122" s="1072"/>
      <c r="BT122" s="159"/>
    </row>
    <row r="123" spans="2:163" ht="20.100000000000001" customHeight="1" x14ac:dyDescent="0.25">
      <c r="B123" s="1062"/>
      <c r="C123" s="1358">
        <f t="shared" si="2"/>
        <v>119</v>
      </c>
      <c r="S123" s="1019" t="s">
        <v>313</v>
      </c>
      <c r="T123" s="1020"/>
      <c r="U123" s="1020"/>
      <c r="V123" s="1020"/>
      <c r="W123" s="1020"/>
      <c r="X123" s="1020"/>
      <c r="Y123" s="1020"/>
      <c r="Z123" s="1020"/>
      <c r="AA123" s="1020"/>
      <c r="AB123" s="1020"/>
      <c r="AC123" s="1020"/>
      <c r="AD123" s="1020"/>
      <c r="AE123" s="1020"/>
      <c r="AF123" s="1020"/>
      <c r="AG123" s="1021"/>
      <c r="BT123" s="159"/>
    </row>
    <row r="124" spans="2:163" s="564" customFormat="1" ht="20.100000000000001" customHeight="1" x14ac:dyDescent="0.25">
      <c r="B124" s="1063"/>
      <c r="C124" s="1359">
        <f t="shared" si="2"/>
        <v>120</v>
      </c>
      <c r="G124" s="567"/>
      <c r="L124" s="565"/>
      <c r="P124" s="565"/>
      <c r="S124" s="1022"/>
      <c r="T124" s="1023"/>
      <c r="U124" s="1023"/>
      <c r="V124" s="1023"/>
      <c r="W124" s="1023"/>
      <c r="X124" s="1023"/>
      <c r="Y124" s="1023"/>
      <c r="Z124" s="1023"/>
      <c r="AA124" s="1023"/>
      <c r="AB124" s="1023"/>
      <c r="AC124" s="1023"/>
      <c r="AD124" s="1023"/>
      <c r="AE124" s="1023"/>
      <c r="AF124" s="1023"/>
      <c r="AG124" s="102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047" t="s">
        <v>306</v>
      </c>
      <c r="C125" s="1358">
        <f t="shared" si="2"/>
        <v>121</v>
      </c>
      <c r="T125" s="1398"/>
      <c r="U125" s="1399"/>
      <c r="V125" s="1399"/>
      <c r="W125" s="1399"/>
      <c r="X125" s="1399"/>
      <c r="Y125" s="1398"/>
      <c r="Z125" s="1399"/>
      <c r="AA125" s="1399"/>
      <c r="AB125" s="1399"/>
      <c r="AC125" s="1398"/>
      <c r="AD125" s="1399"/>
      <c r="AE125" s="1399"/>
      <c r="AF125" s="1399"/>
      <c r="AG125" s="1399"/>
      <c r="AH125" s="1398"/>
      <c r="AI125" s="1369" t="s">
        <v>305</v>
      </c>
      <c r="AJ125" s="1370"/>
      <c r="AK125" s="1370"/>
      <c r="AL125" s="1370"/>
      <c r="AM125" s="1370"/>
      <c r="AN125" s="1370"/>
      <c r="AO125" s="1370"/>
      <c r="AP125" s="1370"/>
      <c r="AQ125" s="1370"/>
      <c r="AR125" s="1370"/>
      <c r="AS125" s="1370"/>
      <c r="AT125" s="1370"/>
      <c r="AU125" s="1370"/>
      <c r="AV125" s="1370"/>
      <c r="AW125" s="1370"/>
      <c r="AX125" s="1371"/>
      <c r="AY125" s="1398"/>
      <c r="BT125" s="159"/>
    </row>
    <row r="126" spans="2:163" ht="20.100000000000001" customHeight="1" x14ac:dyDescent="0.25">
      <c r="B126" s="1048"/>
      <c r="C126" s="1358">
        <f t="shared" si="2"/>
        <v>122</v>
      </c>
      <c r="T126" s="1398"/>
      <c r="U126" s="1399"/>
      <c r="V126" s="1399"/>
      <c r="W126" s="1399"/>
      <c r="X126" s="1399"/>
      <c r="Y126" s="1398"/>
      <c r="Z126" s="1399"/>
      <c r="AA126" s="1399"/>
      <c r="AB126" s="1399"/>
      <c r="AC126" s="1398"/>
      <c r="AD126" s="1399"/>
      <c r="AE126" s="1399"/>
      <c r="AF126" s="1399"/>
      <c r="AG126" s="1399"/>
      <c r="AH126" s="1398"/>
      <c r="AI126" s="1372"/>
      <c r="AJ126" s="1373"/>
      <c r="AK126" s="1373"/>
      <c r="AL126" s="1373"/>
      <c r="AM126" s="1373"/>
      <c r="AN126" s="1373"/>
      <c r="AO126" s="1373"/>
      <c r="AP126" s="1373"/>
      <c r="AQ126" s="1373"/>
      <c r="AR126" s="1373"/>
      <c r="AS126" s="1373"/>
      <c r="AT126" s="1373"/>
      <c r="AU126" s="1373"/>
      <c r="AV126" s="1373"/>
      <c r="AW126" s="1373"/>
      <c r="AX126" s="1374"/>
      <c r="AY126" s="1398"/>
      <c r="BT126" s="159"/>
    </row>
    <row r="127" spans="2:163" ht="20.100000000000001" customHeight="1" x14ac:dyDescent="0.25">
      <c r="B127" s="1048"/>
      <c r="C127" s="1358">
        <f t="shared" si="2"/>
        <v>123</v>
      </c>
      <c r="T127" s="1398"/>
      <c r="U127" s="1399"/>
      <c r="V127" s="1399"/>
      <c r="W127" s="1399"/>
      <c r="X127" s="1399"/>
      <c r="Y127" s="1398"/>
      <c r="Z127" s="1399"/>
      <c r="AA127" s="1399"/>
      <c r="AB127" s="1399"/>
      <c r="AC127" s="1398"/>
      <c r="AD127" s="1399"/>
      <c r="AE127" s="1399"/>
      <c r="AF127" s="1399"/>
      <c r="AG127" s="1399"/>
      <c r="AH127" s="1398"/>
      <c r="AI127" s="1372"/>
      <c r="AJ127" s="1373"/>
      <c r="AK127" s="1373"/>
      <c r="AL127" s="1373"/>
      <c r="AM127" s="1373"/>
      <c r="AN127" s="1373"/>
      <c r="AO127" s="1373"/>
      <c r="AP127" s="1373"/>
      <c r="AQ127" s="1373"/>
      <c r="AR127" s="1373"/>
      <c r="AS127" s="1373"/>
      <c r="AT127" s="1373"/>
      <c r="AU127" s="1373"/>
      <c r="AV127" s="1373"/>
      <c r="AW127" s="1373"/>
      <c r="AX127" s="1374"/>
      <c r="AY127" s="1398"/>
      <c r="BT127" s="159"/>
    </row>
    <row r="128" spans="2:163" ht="20.100000000000001" customHeight="1" x14ac:dyDescent="0.25">
      <c r="B128" s="1048"/>
      <c r="C128" s="1358">
        <f t="shared" si="2"/>
        <v>124</v>
      </c>
      <c r="T128" s="1398"/>
      <c r="U128" s="1399"/>
      <c r="V128" s="1399"/>
      <c r="W128" s="1399"/>
      <c r="X128" s="1399"/>
      <c r="Y128" s="1398"/>
      <c r="Z128" s="1399"/>
      <c r="AA128" s="1399"/>
      <c r="AB128" s="1399"/>
      <c r="AC128" s="1398"/>
      <c r="AD128" s="1399"/>
      <c r="AE128" s="1399"/>
      <c r="AF128" s="1399"/>
      <c r="AG128" s="1399"/>
      <c r="AH128" s="1398"/>
      <c r="AI128" s="1372"/>
      <c r="AJ128" s="1373"/>
      <c r="AK128" s="1373"/>
      <c r="AL128" s="1373"/>
      <c r="AM128" s="1373"/>
      <c r="AN128" s="1373"/>
      <c r="AO128" s="1373"/>
      <c r="AP128" s="1373"/>
      <c r="AQ128" s="1373"/>
      <c r="AR128" s="1373"/>
      <c r="AS128" s="1373"/>
      <c r="AT128" s="1373"/>
      <c r="AU128" s="1373"/>
      <c r="AV128" s="1373"/>
      <c r="AW128" s="1373"/>
      <c r="AX128" s="1374"/>
      <c r="AY128" s="1398"/>
      <c r="BT128" s="159"/>
    </row>
    <row r="129" spans="2:163" ht="20.100000000000001" customHeight="1" x14ac:dyDescent="0.25">
      <c r="B129" s="1048"/>
      <c r="C129" s="1358">
        <f t="shared" si="2"/>
        <v>125</v>
      </c>
      <c r="T129" s="1398"/>
      <c r="U129" s="1399"/>
      <c r="V129" s="1399"/>
      <c r="W129" s="1399"/>
      <c r="X129" s="1399"/>
      <c r="Y129" s="1398"/>
      <c r="Z129" s="1399"/>
      <c r="AA129" s="1399"/>
      <c r="AB129" s="1399"/>
      <c r="AC129" s="1398"/>
      <c r="AD129" s="1399"/>
      <c r="AE129" s="1399"/>
      <c r="AF129" s="1399"/>
      <c r="AG129" s="1399"/>
      <c r="AH129" s="1398"/>
      <c r="AI129" s="1375"/>
      <c r="AJ129" s="1373"/>
      <c r="AK129" s="1373"/>
      <c r="AL129" s="1373"/>
      <c r="AM129" s="1373"/>
      <c r="AN129" s="1373"/>
      <c r="AO129" s="1373"/>
      <c r="AP129" s="1373"/>
      <c r="AQ129" s="1373"/>
      <c r="AR129" s="1373"/>
      <c r="AS129" s="1373"/>
      <c r="AT129" s="1373"/>
      <c r="AU129" s="1373"/>
      <c r="AV129" s="1373"/>
      <c r="AW129" s="1373"/>
      <c r="AX129" s="1374"/>
      <c r="AY129" s="1398"/>
      <c r="BT129" s="159"/>
    </row>
    <row r="130" spans="2:163" ht="20.100000000000001" customHeight="1" x14ac:dyDescent="0.25">
      <c r="B130" s="1048"/>
      <c r="C130" s="1358">
        <f t="shared" si="2"/>
        <v>126</v>
      </c>
      <c r="T130" s="1398"/>
      <c r="U130" s="1399"/>
      <c r="V130" s="1399"/>
      <c r="W130" s="1399"/>
      <c r="X130" s="1399"/>
      <c r="Y130" s="1398"/>
      <c r="Z130" s="1399"/>
      <c r="AA130" s="1399"/>
      <c r="AB130" s="1399"/>
      <c r="AC130" s="1398"/>
      <c r="AD130" s="1399"/>
      <c r="AE130" s="1399"/>
      <c r="AF130" s="1399"/>
      <c r="AG130" s="1399"/>
      <c r="AH130" s="1398"/>
      <c r="AI130" s="1399"/>
      <c r="AJ130" s="1369" t="s">
        <v>307</v>
      </c>
      <c r="AK130" s="1370"/>
      <c r="AL130" s="1370"/>
      <c r="AM130" s="1370"/>
      <c r="AN130" s="1370"/>
      <c r="AO130" s="1370"/>
      <c r="AP130" s="1370"/>
      <c r="AQ130" s="1370"/>
      <c r="AR130" s="1370"/>
      <c r="AS130" s="1370"/>
      <c r="AT130" s="1370"/>
      <c r="AU130" s="1370"/>
      <c r="AV130" s="1370"/>
      <c r="AW130" s="1370"/>
      <c r="AX130" s="1370"/>
      <c r="AY130" s="1371"/>
      <c r="BT130" s="159"/>
    </row>
    <row r="131" spans="2:163" ht="20.100000000000001" customHeight="1" x14ac:dyDescent="0.25">
      <c r="B131" s="1048"/>
      <c r="C131" s="1358">
        <f t="shared" si="2"/>
        <v>127</v>
      </c>
      <c r="T131" s="1398"/>
      <c r="U131" s="1399"/>
      <c r="V131" s="1399"/>
      <c r="W131" s="1399"/>
      <c r="X131" s="1399"/>
      <c r="Y131" s="1398"/>
      <c r="Z131" s="1399"/>
      <c r="AA131" s="1399"/>
      <c r="AB131" s="1399"/>
      <c r="AC131" s="1398"/>
      <c r="AD131" s="1399"/>
      <c r="AE131" s="1399"/>
      <c r="AF131" s="1399"/>
      <c r="AG131" s="1399"/>
      <c r="AH131" s="1398"/>
      <c r="AI131" s="1399"/>
      <c r="AJ131" s="1372"/>
      <c r="AK131" s="1373"/>
      <c r="AL131" s="1373"/>
      <c r="AM131" s="1373"/>
      <c r="AN131" s="1373"/>
      <c r="AO131" s="1373"/>
      <c r="AP131" s="1373"/>
      <c r="AQ131" s="1373"/>
      <c r="AR131" s="1373"/>
      <c r="AS131" s="1373"/>
      <c r="AT131" s="1373"/>
      <c r="AU131" s="1373"/>
      <c r="AV131" s="1373"/>
      <c r="AW131" s="1373"/>
      <c r="AX131" s="1373"/>
      <c r="AY131" s="1374"/>
      <c r="BT131" s="159"/>
    </row>
    <row r="132" spans="2:163" ht="20.100000000000001" customHeight="1" x14ac:dyDescent="0.25">
      <c r="B132" s="1048"/>
      <c r="C132" s="1358">
        <f t="shared" si="2"/>
        <v>128</v>
      </c>
      <c r="T132" s="1398"/>
      <c r="U132" s="1399"/>
      <c r="V132" s="1399"/>
      <c r="W132" s="1399"/>
      <c r="X132" s="1399"/>
      <c r="Y132" s="1398"/>
      <c r="Z132" s="1399"/>
      <c r="AA132" s="1399"/>
      <c r="AB132" s="1399"/>
      <c r="AC132" s="1398"/>
      <c r="AD132" s="1399"/>
      <c r="AE132" s="1399"/>
      <c r="AF132" s="1399"/>
      <c r="AG132" s="1399"/>
      <c r="AH132" s="1398"/>
      <c r="AI132" s="1399"/>
      <c r="AJ132" s="1372"/>
      <c r="AK132" s="1373"/>
      <c r="AL132" s="1373"/>
      <c r="AM132" s="1373"/>
      <c r="AN132" s="1373"/>
      <c r="AO132" s="1373"/>
      <c r="AP132" s="1373"/>
      <c r="AQ132" s="1373"/>
      <c r="AR132" s="1373"/>
      <c r="AS132" s="1373"/>
      <c r="AT132" s="1373"/>
      <c r="AU132" s="1373"/>
      <c r="AV132" s="1373"/>
      <c r="AW132" s="1373"/>
      <c r="AX132" s="1373"/>
      <c r="AY132" s="1374"/>
      <c r="BT132" s="159"/>
    </row>
    <row r="133" spans="2:163" ht="20.100000000000001" customHeight="1" x14ac:dyDescent="0.25">
      <c r="B133" s="1048"/>
      <c r="C133" s="1358">
        <f t="shared" si="2"/>
        <v>129</v>
      </c>
      <c r="T133" s="1398"/>
      <c r="U133" s="1399"/>
      <c r="V133" s="1399"/>
      <c r="W133" s="1399"/>
      <c r="X133" s="1399"/>
      <c r="Y133" s="1398"/>
      <c r="Z133" s="1399"/>
      <c r="AA133" s="1399"/>
      <c r="AB133" s="1399"/>
      <c r="AC133" s="1398"/>
      <c r="AD133" s="1399"/>
      <c r="AE133" s="1399"/>
      <c r="AF133" s="1399"/>
      <c r="AG133" s="1399"/>
      <c r="AH133" s="1398"/>
      <c r="AI133" s="1399"/>
      <c r="AJ133" s="1372"/>
      <c r="AK133" s="1373"/>
      <c r="AL133" s="1373"/>
      <c r="AM133" s="1373"/>
      <c r="AN133" s="1373"/>
      <c r="AO133" s="1373"/>
      <c r="AP133" s="1373"/>
      <c r="AQ133" s="1376"/>
      <c r="AR133" s="1376"/>
      <c r="AS133" s="1376"/>
      <c r="AT133" s="1376"/>
      <c r="AU133" s="1376"/>
      <c r="AV133" s="1376"/>
      <c r="AW133" s="1376"/>
      <c r="AX133" s="1376"/>
      <c r="AY133" s="1377"/>
      <c r="BT133" s="159"/>
    </row>
    <row r="134" spans="2:163" ht="20.100000000000001" customHeight="1" x14ac:dyDescent="0.25">
      <c r="B134" s="1048"/>
      <c r="C134" s="1358">
        <f t="shared" si="2"/>
        <v>130</v>
      </c>
      <c r="T134" s="1398"/>
      <c r="U134" s="1399"/>
      <c r="V134" s="1399"/>
      <c r="W134" s="1399"/>
      <c r="X134" s="1399"/>
      <c r="Y134" s="1398"/>
      <c r="Z134" s="1399"/>
      <c r="AA134" s="1399"/>
      <c r="AB134" s="1399"/>
      <c r="AC134" s="1398"/>
      <c r="AD134" s="1399"/>
      <c r="AE134" s="1399"/>
      <c r="AF134" s="1399"/>
      <c r="AG134" s="1369" t="s">
        <v>308</v>
      </c>
      <c r="AH134" s="1370"/>
      <c r="AI134" s="1370"/>
      <c r="AJ134" s="1370"/>
      <c r="AK134" s="1370"/>
      <c r="AL134" s="1370"/>
      <c r="AM134" s="1370"/>
      <c r="AN134" s="1370"/>
      <c r="AO134" s="1370"/>
      <c r="AP134" s="1371"/>
      <c r="AQ134" s="1399"/>
      <c r="AR134" s="1399"/>
      <c r="AS134" s="1399"/>
      <c r="AT134" s="1398"/>
      <c r="AU134" s="1399"/>
      <c r="AV134" s="1399"/>
      <c r="AW134" s="1399"/>
      <c r="AX134" s="1399"/>
      <c r="AY134" s="1398"/>
      <c r="BT134" s="159"/>
    </row>
    <row r="135" spans="2:163" ht="20.100000000000001" customHeight="1" x14ac:dyDescent="0.25">
      <c r="B135" s="1048"/>
      <c r="C135" s="1358">
        <f t="shared" si="2"/>
        <v>131</v>
      </c>
      <c r="T135" s="1398"/>
      <c r="U135" s="1399"/>
      <c r="V135" s="1399"/>
      <c r="W135" s="1399"/>
      <c r="X135" s="1399"/>
      <c r="Y135" s="1398"/>
      <c r="Z135" s="1399"/>
      <c r="AA135" s="1399"/>
      <c r="AB135" s="1399"/>
      <c r="AC135" s="1398"/>
      <c r="AD135" s="1399"/>
      <c r="AE135" s="1399"/>
      <c r="AF135" s="1399"/>
      <c r="AG135" s="1372"/>
      <c r="AH135" s="1373"/>
      <c r="AI135" s="1373"/>
      <c r="AJ135" s="1373"/>
      <c r="AK135" s="1373"/>
      <c r="AL135" s="1373"/>
      <c r="AM135" s="1373"/>
      <c r="AN135" s="1373"/>
      <c r="AO135" s="1373"/>
      <c r="AP135" s="1374"/>
      <c r="AQ135" s="1399"/>
      <c r="AR135" s="1399"/>
      <c r="AS135" s="1399"/>
      <c r="AT135" s="1398"/>
      <c r="AU135" s="1399"/>
      <c r="AV135" s="1399"/>
      <c r="AW135" s="1399"/>
      <c r="AX135" s="1399"/>
      <c r="AY135" s="1398"/>
      <c r="BT135" s="159"/>
    </row>
    <row r="136" spans="2:163" ht="20.100000000000001" customHeight="1" x14ac:dyDescent="0.25">
      <c r="B136" s="1048"/>
      <c r="C136" s="1358">
        <f t="shared" si="2"/>
        <v>132</v>
      </c>
      <c r="T136" s="1398"/>
      <c r="U136" s="1399"/>
      <c r="V136" s="1399"/>
      <c r="W136" s="1399"/>
      <c r="X136" s="1399"/>
      <c r="Y136" s="1398"/>
      <c r="Z136" s="1399"/>
      <c r="AA136" s="1399"/>
      <c r="AB136" s="1399"/>
      <c r="AC136" s="1398"/>
      <c r="AD136" s="1399"/>
      <c r="AE136" s="1399"/>
      <c r="AF136" s="1399"/>
      <c r="AG136" s="1375"/>
      <c r="AH136" s="1376"/>
      <c r="AI136" s="1376"/>
      <c r="AJ136" s="1376"/>
      <c r="AK136" s="1376"/>
      <c r="AL136" s="1376"/>
      <c r="AM136" s="1373"/>
      <c r="AN136" s="1373"/>
      <c r="AO136" s="1373"/>
      <c r="AP136" s="1374"/>
      <c r="AQ136" s="1399"/>
      <c r="AR136" s="1399"/>
      <c r="AS136" s="1399"/>
      <c r="AT136" s="1398"/>
      <c r="AU136" s="1399"/>
      <c r="AV136" s="1399"/>
      <c r="AW136" s="1399"/>
      <c r="AX136" s="1399"/>
      <c r="AY136" s="1398"/>
      <c r="BT136" s="159"/>
    </row>
    <row r="137" spans="2:163" ht="20.100000000000001" customHeight="1" x14ac:dyDescent="0.25">
      <c r="B137" s="1048"/>
      <c r="C137" s="1358">
        <f t="shared" si="2"/>
        <v>133</v>
      </c>
      <c r="T137" s="1398"/>
      <c r="U137" s="1399"/>
      <c r="V137" s="1399"/>
      <c r="W137" s="1399"/>
      <c r="X137" s="1399"/>
      <c r="Y137" s="1398"/>
      <c r="Z137" s="1399"/>
      <c r="AA137" s="1399"/>
      <c r="AB137" s="1399"/>
      <c r="AC137" s="1398"/>
      <c r="AD137" s="1399"/>
      <c r="AE137" s="1399"/>
      <c r="AF137" s="1399"/>
      <c r="AG137" s="1399"/>
      <c r="AH137" s="1398"/>
      <c r="AI137" s="1399"/>
      <c r="AJ137" s="1399"/>
      <c r="AK137" s="1399"/>
      <c r="AL137" s="1398"/>
      <c r="AM137" s="1369" t="s">
        <v>308</v>
      </c>
      <c r="AN137" s="1370"/>
      <c r="AO137" s="1370"/>
      <c r="AP137" s="1370"/>
      <c r="AQ137" s="1370"/>
      <c r="AR137" s="1370"/>
      <c r="AS137" s="1370"/>
      <c r="AT137" s="1370"/>
      <c r="AU137" s="1371"/>
      <c r="AV137" s="1399"/>
      <c r="AW137" s="1399"/>
      <c r="AX137" s="1399"/>
      <c r="AY137" s="1398"/>
      <c r="BT137" s="159"/>
    </row>
    <row r="138" spans="2:163" ht="20.100000000000001" customHeight="1" x14ac:dyDescent="0.25">
      <c r="B138" s="1048"/>
      <c r="C138" s="1358">
        <f t="shared" si="2"/>
        <v>134</v>
      </c>
      <c r="T138" s="1398"/>
      <c r="U138" s="1399"/>
      <c r="V138" s="1399"/>
      <c r="W138" s="1399"/>
      <c r="X138" s="1399"/>
      <c r="Y138" s="1398"/>
      <c r="Z138" s="1399"/>
      <c r="AA138" s="1399"/>
      <c r="AB138" s="1399"/>
      <c r="AC138" s="1398"/>
      <c r="AD138" s="1399"/>
      <c r="AE138" s="1399"/>
      <c r="AF138" s="1399"/>
      <c r="AG138" s="1399"/>
      <c r="AH138" s="1398"/>
      <c r="AI138" s="1399"/>
      <c r="AJ138" s="1399"/>
      <c r="AK138" s="1399"/>
      <c r="AL138" s="1398"/>
      <c r="AM138" s="1372"/>
      <c r="AN138" s="1373"/>
      <c r="AO138" s="1373"/>
      <c r="AP138" s="1373"/>
      <c r="AQ138" s="1373"/>
      <c r="AR138" s="1373"/>
      <c r="AS138" s="1373"/>
      <c r="AT138" s="1373"/>
      <c r="AU138" s="1374"/>
      <c r="AV138" s="1399"/>
      <c r="AW138" s="1399"/>
      <c r="AX138" s="1399"/>
      <c r="AY138" s="1398"/>
      <c r="BT138" s="159"/>
    </row>
    <row r="139" spans="2:163" ht="20.100000000000001" customHeight="1" x14ac:dyDescent="0.25">
      <c r="B139" s="1048"/>
      <c r="C139" s="1358">
        <f t="shared" si="2"/>
        <v>135</v>
      </c>
      <c r="T139" s="1398"/>
      <c r="U139" s="1399"/>
      <c r="V139" s="1399"/>
      <c r="W139" s="1399"/>
      <c r="X139" s="1399"/>
      <c r="Y139" s="1398"/>
      <c r="Z139" s="1399"/>
      <c r="AA139" s="1399"/>
      <c r="AB139" s="1399"/>
      <c r="AC139" s="1398"/>
      <c r="AD139" s="1399"/>
      <c r="AE139" s="1399"/>
      <c r="AF139" s="1399"/>
      <c r="AG139" s="1399"/>
      <c r="AH139" s="1398"/>
      <c r="AI139" s="1399"/>
      <c r="AJ139" s="1399"/>
      <c r="AK139" s="1399"/>
      <c r="AL139" s="1398"/>
      <c r="AM139" s="1372"/>
      <c r="AN139" s="1373"/>
      <c r="AO139" s="1376"/>
      <c r="AP139" s="1376"/>
      <c r="AQ139" s="1376"/>
      <c r="AR139" s="1376"/>
      <c r="AS139" s="1376"/>
      <c r="AT139" s="1376"/>
      <c r="AU139" s="1377"/>
      <c r="AV139" s="1399"/>
      <c r="AW139" s="1399"/>
      <c r="AX139" s="1399"/>
      <c r="AY139" s="1398"/>
      <c r="BT139" s="159"/>
    </row>
    <row r="140" spans="2:163" ht="20.100000000000001" customHeight="1" x14ac:dyDescent="0.25">
      <c r="B140" s="1048"/>
      <c r="C140" s="1358">
        <f t="shared" si="2"/>
        <v>136</v>
      </c>
      <c r="T140" s="1398"/>
      <c r="U140" s="1399"/>
      <c r="V140" s="1399"/>
      <c r="W140" s="1369" t="s">
        <v>309</v>
      </c>
      <c r="X140" s="1370"/>
      <c r="Y140" s="1370"/>
      <c r="Z140" s="1370"/>
      <c r="AA140" s="1370"/>
      <c r="AB140" s="1370"/>
      <c r="AC140" s="1370"/>
      <c r="AD140" s="1370"/>
      <c r="AE140" s="1370"/>
      <c r="AF140" s="1370"/>
      <c r="AG140" s="1370"/>
      <c r="AH140" s="1370"/>
      <c r="AI140" s="1370"/>
      <c r="AJ140" s="1370"/>
      <c r="AK140" s="1370"/>
      <c r="AL140" s="1370"/>
      <c r="AM140" s="1370"/>
      <c r="AN140" s="1371"/>
      <c r="AO140" s="1399"/>
      <c r="AP140" s="1398"/>
      <c r="AQ140" s="1399"/>
      <c r="AR140" s="1399"/>
      <c r="AS140" s="1399"/>
      <c r="AT140" s="1398"/>
      <c r="AU140" s="1399"/>
      <c r="AV140" s="1399"/>
      <c r="AW140" s="1399"/>
      <c r="AX140" s="1399"/>
      <c r="AY140" s="1398"/>
      <c r="BT140" s="159"/>
    </row>
    <row r="141" spans="2:163" ht="20.100000000000001" customHeight="1" x14ac:dyDescent="0.25">
      <c r="B141" s="1048"/>
      <c r="C141" s="1358">
        <f t="shared" si="2"/>
        <v>137</v>
      </c>
      <c r="T141" s="1398"/>
      <c r="U141" s="1399"/>
      <c r="V141" s="1399"/>
      <c r="W141" s="1372"/>
      <c r="X141" s="1373"/>
      <c r="Y141" s="1373"/>
      <c r="Z141" s="1373"/>
      <c r="AA141" s="1373"/>
      <c r="AB141" s="1373"/>
      <c r="AC141" s="1373"/>
      <c r="AD141" s="1373"/>
      <c r="AE141" s="1373"/>
      <c r="AF141" s="1373"/>
      <c r="AG141" s="1373"/>
      <c r="AH141" s="1373"/>
      <c r="AI141" s="1373"/>
      <c r="AJ141" s="1373"/>
      <c r="AK141" s="1373"/>
      <c r="AL141" s="1373"/>
      <c r="AM141" s="1373"/>
      <c r="AN141" s="1374"/>
      <c r="AO141" s="1399"/>
      <c r="AP141" s="1398"/>
      <c r="AQ141" s="1399"/>
      <c r="AR141" s="1399"/>
      <c r="AS141" s="1399"/>
      <c r="AT141" s="1398"/>
      <c r="AU141" s="1399"/>
      <c r="AV141" s="1399"/>
      <c r="AW141" s="1399"/>
      <c r="AX141" s="1399"/>
      <c r="AY141" s="1398"/>
      <c r="BT141" s="159"/>
    </row>
    <row r="142" spans="2:163" ht="20.100000000000001" customHeight="1" x14ac:dyDescent="0.25">
      <c r="B142" s="1048"/>
      <c r="C142" s="1358">
        <f t="shared" si="2"/>
        <v>138</v>
      </c>
      <c r="T142" s="1398"/>
      <c r="U142" s="1399"/>
      <c r="V142" s="1399"/>
      <c r="W142" s="1372"/>
      <c r="X142" s="1373"/>
      <c r="Y142" s="1373"/>
      <c r="Z142" s="1373"/>
      <c r="AA142" s="1373"/>
      <c r="AB142" s="1373"/>
      <c r="AC142" s="1373"/>
      <c r="AD142" s="1373"/>
      <c r="AE142" s="1373"/>
      <c r="AF142" s="1373"/>
      <c r="AG142" s="1373"/>
      <c r="AH142" s="1373"/>
      <c r="AI142" s="1373"/>
      <c r="AJ142" s="1373"/>
      <c r="AK142" s="1373"/>
      <c r="AL142" s="1373"/>
      <c r="AM142" s="1373"/>
      <c r="AN142" s="1374"/>
      <c r="AO142" s="1399"/>
      <c r="AP142" s="1398"/>
      <c r="AQ142" s="1399"/>
      <c r="AR142" s="1399"/>
      <c r="AS142" s="1399"/>
      <c r="AT142" s="1398"/>
      <c r="AU142" s="1399"/>
      <c r="AV142" s="1399"/>
      <c r="AW142" s="1399"/>
      <c r="AX142" s="1399"/>
      <c r="AY142" s="1398"/>
      <c r="BT142" s="159"/>
    </row>
    <row r="143" spans="2:163" ht="20.100000000000001" customHeight="1" x14ac:dyDescent="0.25">
      <c r="B143" s="1048"/>
      <c r="C143" s="1358">
        <f t="shared" si="2"/>
        <v>139</v>
      </c>
      <c r="T143" s="1398"/>
      <c r="U143" s="1399"/>
      <c r="V143" s="1399"/>
      <c r="W143" s="1372"/>
      <c r="X143" s="1373"/>
      <c r="Y143" s="1373"/>
      <c r="Z143" s="1373"/>
      <c r="AA143" s="1373"/>
      <c r="AB143" s="1373"/>
      <c r="AC143" s="1373"/>
      <c r="AD143" s="1373"/>
      <c r="AE143" s="1373"/>
      <c r="AF143" s="1373"/>
      <c r="AG143" s="1373"/>
      <c r="AH143" s="1373"/>
      <c r="AI143" s="1373"/>
      <c r="AJ143" s="1373"/>
      <c r="AK143" s="1373"/>
      <c r="AL143" s="1373"/>
      <c r="AM143" s="1373"/>
      <c r="AN143" s="1374"/>
      <c r="AO143" s="1399"/>
      <c r="AP143" s="1398"/>
      <c r="AQ143" s="1399"/>
      <c r="AR143" s="1399"/>
      <c r="AS143" s="1399"/>
      <c r="AT143" s="1398"/>
      <c r="AU143" s="1399"/>
      <c r="AV143" s="1399"/>
      <c r="AW143" s="1399"/>
      <c r="AX143" s="1399"/>
      <c r="AY143" s="1398"/>
      <c r="BT143" s="159"/>
    </row>
    <row r="144" spans="2:163" s="564" customFormat="1" ht="20.100000000000001" customHeight="1" x14ac:dyDescent="0.25">
      <c r="B144" s="1049"/>
      <c r="C144" s="1359">
        <f t="shared" si="2"/>
        <v>140</v>
      </c>
      <c r="G144" s="567"/>
      <c r="L144" s="565"/>
      <c r="P144" s="565"/>
      <c r="T144" s="1400"/>
      <c r="U144" s="1401"/>
      <c r="V144" s="1401"/>
      <c r="W144" s="1375"/>
      <c r="X144" s="1376"/>
      <c r="Y144" s="1376"/>
      <c r="Z144" s="1376"/>
      <c r="AA144" s="1376"/>
      <c r="AB144" s="1376"/>
      <c r="AC144" s="1376"/>
      <c r="AD144" s="1376"/>
      <c r="AE144" s="1376"/>
      <c r="AF144" s="1376"/>
      <c r="AG144" s="1376"/>
      <c r="AH144" s="1376"/>
      <c r="AI144" s="1376"/>
      <c r="AJ144" s="1376"/>
      <c r="AK144" s="1376"/>
      <c r="AL144" s="1376"/>
      <c r="AM144" s="1376"/>
      <c r="AN144" s="1377"/>
      <c r="AO144" s="1401"/>
      <c r="AP144" s="1400"/>
      <c r="AQ144" s="1401"/>
      <c r="AR144" s="1401"/>
      <c r="AS144" s="1401"/>
      <c r="AT144" s="1400"/>
      <c r="AU144" s="1401"/>
      <c r="AV144" s="1401"/>
      <c r="AW144" s="1401"/>
      <c r="AX144" s="1401"/>
      <c r="AY144" s="1400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013" t="s">
        <v>310</v>
      </c>
      <c r="C145" s="1358">
        <f t="shared" si="2"/>
        <v>141</v>
      </c>
      <c r="T145" s="1398"/>
      <c r="U145" s="1399"/>
      <c r="V145" s="1399"/>
      <c r="W145" s="1399"/>
      <c r="X145" s="1399"/>
      <c r="Y145" s="1398"/>
      <c r="Z145" s="1399"/>
      <c r="AA145" s="1399"/>
      <c r="AB145" s="1399"/>
      <c r="AC145" s="1398"/>
      <c r="AD145" s="1399"/>
      <c r="AE145" s="1399"/>
      <c r="AF145" s="1399"/>
      <c r="AG145" s="1399"/>
      <c r="AH145" s="1378" t="s">
        <v>314</v>
      </c>
      <c r="AI145" s="1379"/>
      <c r="AJ145" s="1379"/>
      <c r="AK145" s="1379"/>
      <c r="AL145" s="1379"/>
      <c r="AM145" s="1379"/>
      <c r="AN145" s="1379"/>
      <c r="AO145" s="1379"/>
      <c r="AP145" s="1379"/>
      <c r="AQ145" s="1379"/>
      <c r="AR145" s="1379"/>
      <c r="AS145" s="1379"/>
      <c r="AT145" s="1379"/>
      <c r="AU145" s="1379"/>
      <c r="AV145" s="1380"/>
      <c r="AW145" s="1399"/>
      <c r="AX145" s="1399"/>
      <c r="AY145" s="1398"/>
      <c r="BT145" s="159"/>
    </row>
    <row r="146" spans="2:72" ht="20.100000000000001" customHeight="1" x14ac:dyDescent="0.25">
      <c r="B146" s="1014"/>
      <c r="C146" s="1358">
        <f t="shared" si="2"/>
        <v>142</v>
      </c>
      <c r="T146" s="1398"/>
      <c r="U146" s="1399"/>
      <c r="V146" s="1399"/>
      <c r="W146" s="1399"/>
      <c r="X146" s="1399"/>
      <c r="Y146" s="1398"/>
      <c r="Z146" s="1399"/>
      <c r="AA146" s="1399"/>
      <c r="AB146" s="1399"/>
      <c r="AC146" s="1398"/>
      <c r="AD146" s="1399"/>
      <c r="AE146" s="1399"/>
      <c r="AF146" s="1399"/>
      <c r="AG146" s="1399"/>
      <c r="AH146" s="1381"/>
      <c r="AI146" s="1382"/>
      <c r="AJ146" s="1382"/>
      <c r="AK146" s="1382"/>
      <c r="AL146" s="1382"/>
      <c r="AM146" s="1382"/>
      <c r="AN146" s="1382"/>
      <c r="AO146" s="1382"/>
      <c r="AP146" s="1382"/>
      <c r="AQ146" s="1382"/>
      <c r="AR146" s="1382"/>
      <c r="AS146" s="1382"/>
      <c r="AT146" s="1382"/>
      <c r="AU146" s="1382"/>
      <c r="AV146" s="1383"/>
      <c r="AW146" s="1399"/>
      <c r="AX146" s="1399"/>
      <c r="AY146" s="1398"/>
      <c r="BT146" s="159"/>
    </row>
    <row r="147" spans="2:72" ht="20.100000000000001" customHeight="1" x14ac:dyDescent="0.25">
      <c r="B147" s="1014"/>
      <c r="C147" s="1358">
        <f t="shared" si="2"/>
        <v>143</v>
      </c>
      <c r="T147" s="1398"/>
      <c r="U147" s="1399"/>
      <c r="V147" s="1399"/>
      <c r="W147" s="1399"/>
      <c r="X147" s="1399"/>
      <c r="Y147" s="1398"/>
      <c r="Z147" s="1399"/>
      <c r="AA147" s="1399"/>
      <c r="AB147" s="1399"/>
      <c r="AC147" s="1398"/>
      <c r="AD147" s="1399"/>
      <c r="AE147" s="1399"/>
      <c r="AF147" s="1399"/>
      <c r="AG147" s="1399"/>
      <c r="AH147" s="1381"/>
      <c r="AI147" s="1382"/>
      <c r="AJ147" s="1382"/>
      <c r="AK147" s="1382"/>
      <c r="AL147" s="1382"/>
      <c r="AM147" s="1382"/>
      <c r="AN147" s="1382"/>
      <c r="AO147" s="1382"/>
      <c r="AP147" s="1382"/>
      <c r="AQ147" s="1382"/>
      <c r="AR147" s="1382"/>
      <c r="AS147" s="1382"/>
      <c r="AT147" s="1382"/>
      <c r="AU147" s="1382"/>
      <c r="AV147" s="1383"/>
      <c r="AW147" s="1399"/>
      <c r="AX147" s="1399"/>
      <c r="AY147" s="1398"/>
      <c r="BT147" s="159"/>
    </row>
    <row r="148" spans="2:72" ht="20.100000000000001" customHeight="1" x14ac:dyDescent="0.25">
      <c r="B148" s="1014"/>
      <c r="C148" s="1358">
        <f t="shared" si="2"/>
        <v>144</v>
      </c>
      <c r="T148" s="1398"/>
      <c r="U148" s="1399"/>
      <c r="V148" s="1399"/>
      <c r="W148" s="1399"/>
      <c r="X148" s="1399"/>
      <c r="Y148" s="1398"/>
      <c r="Z148" s="1399"/>
      <c r="AA148" s="1399"/>
      <c r="AB148" s="1399"/>
      <c r="AC148" s="1398"/>
      <c r="AD148" s="1399"/>
      <c r="AE148" s="1399"/>
      <c r="AF148" s="1399"/>
      <c r="AG148" s="1399"/>
      <c r="AH148" s="1384"/>
      <c r="AI148" s="1385"/>
      <c r="AJ148" s="1385"/>
      <c r="AK148" s="1385"/>
      <c r="AL148" s="1385"/>
      <c r="AM148" s="1385"/>
      <c r="AN148" s="1385"/>
      <c r="AO148" s="1385"/>
      <c r="AP148" s="1385"/>
      <c r="AQ148" s="1385"/>
      <c r="AR148" s="1385"/>
      <c r="AS148" s="1385"/>
      <c r="AT148" s="1385"/>
      <c r="AU148" s="1385"/>
      <c r="AV148" s="1386"/>
      <c r="AW148" s="1399"/>
      <c r="AX148" s="1399"/>
      <c r="AY148" s="1398"/>
      <c r="BT148" s="159"/>
    </row>
    <row r="149" spans="2:72" ht="20.100000000000001" customHeight="1" x14ac:dyDescent="0.25">
      <c r="B149" s="1014"/>
      <c r="C149" s="1358">
        <f t="shared" si="2"/>
        <v>145</v>
      </c>
      <c r="T149" s="1398"/>
      <c r="U149" s="1399"/>
      <c r="V149" s="1399"/>
      <c r="W149" s="1399"/>
      <c r="X149" s="1399"/>
      <c r="Y149" s="1398"/>
      <c r="Z149" s="1399"/>
      <c r="AA149" s="1399"/>
      <c r="AB149" s="1399"/>
      <c r="AC149" s="1398"/>
      <c r="AD149" s="1399"/>
      <c r="AE149" s="1399"/>
      <c r="AF149" s="1399"/>
      <c r="AG149" s="1399"/>
      <c r="AH149" s="1398"/>
      <c r="AI149" s="1399"/>
      <c r="AJ149" s="1399"/>
      <c r="AK149" s="1402" t="s">
        <v>320</v>
      </c>
      <c r="AL149" s="1403"/>
      <c r="AM149" s="1403"/>
      <c r="AN149" s="1403"/>
      <c r="AO149" s="1403"/>
      <c r="AP149" s="1403"/>
      <c r="AQ149" s="1403"/>
      <c r="AR149" s="1403"/>
      <c r="AS149" s="1404"/>
      <c r="AT149" s="1398"/>
      <c r="AU149" s="1399"/>
      <c r="AV149" s="1399"/>
      <c r="AW149" s="1399"/>
      <c r="AX149" s="1399"/>
      <c r="AY149" s="1398"/>
      <c r="BT149" s="159"/>
    </row>
    <row r="150" spans="2:72" ht="20.100000000000001" customHeight="1" x14ac:dyDescent="0.25">
      <c r="B150" s="1014"/>
      <c r="C150" s="1358">
        <f t="shared" si="2"/>
        <v>146</v>
      </c>
      <c r="T150" s="1398"/>
      <c r="U150" s="1399"/>
      <c r="V150" s="1399"/>
      <c r="W150" s="1399"/>
      <c r="X150" s="1399"/>
      <c r="Y150" s="1398"/>
      <c r="Z150" s="1399"/>
      <c r="AA150" s="1399"/>
      <c r="AB150" s="1399"/>
      <c r="AC150" s="1398"/>
      <c r="AD150" s="1399"/>
      <c r="AE150" s="1399"/>
      <c r="AF150" s="1399"/>
      <c r="AG150" s="1399"/>
      <c r="AH150" s="1398"/>
      <c r="AI150" s="1399"/>
      <c r="AJ150" s="1399"/>
      <c r="AK150" s="1405"/>
      <c r="AL150" s="1406"/>
      <c r="AM150" s="1406"/>
      <c r="AN150" s="1406"/>
      <c r="AO150" s="1406"/>
      <c r="AP150" s="1406"/>
      <c r="AQ150" s="1406"/>
      <c r="AR150" s="1406"/>
      <c r="AS150" s="1407"/>
      <c r="AT150" s="1398"/>
      <c r="AU150" s="1399"/>
      <c r="AV150" s="1399"/>
      <c r="AW150" s="1399"/>
      <c r="AX150" s="1399"/>
      <c r="AY150" s="1398"/>
      <c r="BT150" s="159"/>
    </row>
    <row r="151" spans="2:72" ht="20.100000000000001" customHeight="1" x14ac:dyDescent="0.25">
      <c r="B151" s="1014"/>
      <c r="C151" s="1358">
        <f t="shared" si="2"/>
        <v>147</v>
      </c>
      <c r="T151" s="1398"/>
      <c r="U151" s="1399"/>
      <c r="V151" s="1399"/>
      <c r="W151" s="1399"/>
      <c r="X151" s="1399"/>
      <c r="Y151" s="1398"/>
      <c r="Z151" s="1399"/>
      <c r="AA151" s="1399"/>
      <c r="AB151" s="1399"/>
      <c r="AC151" s="1398"/>
      <c r="AD151" s="1399"/>
      <c r="AE151" s="1399"/>
      <c r="AF151" s="1399"/>
      <c r="AG151" s="1399"/>
      <c r="AH151" s="1398"/>
      <c r="AI151" s="1399"/>
      <c r="AJ151" s="1399"/>
      <c r="AK151" s="1408"/>
      <c r="AL151" s="1408"/>
      <c r="AM151" s="1409"/>
      <c r="AN151" s="1408"/>
      <c r="AO151" s="1408"/>
      <c r="AP151" s="1410" t="s">
        <v>321</v>
      </c>
      <c r="AQ151" s="1411"/>
      <c r="AR151" s="1411"/>
      <c r="AS151" s="1411"/>
      <c r="AT151" s="1411"/>
      <c r="AU151" s="1411"/>
      <c r="AV151" s="1411"/>
      <c r="AW151" s="1412"/>
      <c r="AX151" s="1399"/>
      <c r="AY151" s="1398"/>
      <c r="BT151" s="159"/>
    </row>
    <row r="152" spans="2:72" ht="20.100000000000001" customHeight="1" x14ac:dyDescent="0.25">
      <c r="B152" s="1014"/>
      <c r="C152" s="1358">
        <f t="shared" si="2"/>
        <v>148</v>
      </c>
      <c r="T152" s="1413" t="s">
        <v>322</v>
      </c>
      <c r="U152" s="1414"/>
      <c r="V152" s="1414"/>
      <c r="W152" s="1414"/>
      <c r="X152" s="1415"/>
      <c r="Y152" s="1415"/>
      <c r="Z152" s="1415"/>
      <c r="AA152" s="1415"/>
      <c r="AB152" s="1415"/>
      <c r="AC152" s="1415"/>
      <c r="AD152" s="1415"/>
      <c r="AE152" s="1415"/>
      <c r="AF152" s="1399"/>
      <c r="AG152" s="1399"/>
      <c r="AH152" s="1398"/>
      <c r="AI152" s="1399"/>
      <c r="AJ152" s="1399"/>
      <c r="AK152" s="1399"/>
      <c r="AL152" s="1398"/>
      <c r="AM152" s="1399"/>
      <c r="AN152" s="1399"/>
      <c r="AO152" s="1399"/>
      <c r="AP152" s="1399"/>
      <c r="AQ152" s="1416"/>
      <c r="AR152" s="1399"/>
      <c r="AS152" s="1399"/>
      <c r="AT152" s="1399"/>
      <c r="AU152" s="1416"/>
      <c r="AV152" s="1399"/>
      <c r="AW152" s="1399"/>
      <c r="AX152" s="1399"/>
      <c r="AY152" s="1398"/>
      <c r="BT152" s="159"/>
    </row>
    <row r="153" spans="2:72" ht="20.100000000000001" customHeight="1" x14ac:dyDescent="0.25">
      <c r="B153" s="1014"/>
      <c r="C153" s="1358">
        <f t="shared" si="2"/>
        <v>149</v>
      </c>
      <c r="T153" s="1398"/>
      <c r="U153" s="1399"/>
      <c r="V153" s="1399"/>
      <c r="W153" s="1399"/>
      <c r="X153" s="1417" t="s">
        <v>322</v>
      </c>
      <c r="Y153" s="1418"/>
      <c r="Z153" s="1418"/>
      <c r="AA153" s="1418"/>
      <c r="AB153" s="1418"/>
      <c r="AC153" s="1418"/>
      <c r="AD153" s="1418"/>
      <c r="AE153" s="1418"/>
      <c r="AF153" s="1418"/>
      <c r="AG153" s="1418"/>
      <c r="AH153" s="1414"/>
      <c r="AI153" s="1399"/>
      <c r="AJ153" s="1399"/>
      <c r="AK153" s="1399"/>
      <c r="AL153" s="1398"/>
      <c r="AM153" s="1399"/>
      <c r="AN153" s="1399"/>
      <c r="AO153" s="1399"/>
      <c r="AP153" s="1399"/>
      <c r="AQ153" s="1416"/>
      <c r="AR153" s="1399"/>
      <c r="AS153" s="1399"/>
      <c r="AT153" s="1399"/>
      <c r="AU153" s="1416"/>
      <c r="AV153" s="1399"/>
      <c r="AW153" s="1399"/>
      <c r="AX153" s="1399"/>
      <c r="AY153" s="1398"/>
      <c r="BT153" s="159"/>
    </row>
    <row r="154" spans="2:72" ht="20.100000000000001" customHeight="1" x14ac:dyDescent="0.25">
      <c r="B154" s="1014"/>
      <c r="C154" s="1358">
        <f t="shared" si="2"/>
        <v>150</v>
      </c>
      <c r="T154" s="1398"/>
      <c r="U154" s="1399"/>
      <c r="V154" s="1399"/>
      <c r="W154" s="1399"/>
      <c r="X154" s="1399"/>
      <c r="Y154" s="1398"/>
      <c r="Z154" s="1399"/>
      <c r="AA154" s="1399"/>
      <c r="AB154" s="1399"/>
      <c r="AC154" s="1398"/>
      <c r="AD154" s="1399"/>
      <c r="AE154" s="1399"/>
      <c r="AF154" s="1399"/>
      <c r="AG154" s="1399"/>
      <c r="AH154" s="1398"/>
      <c r="AI154" s="1399"/>
      <c r="AJ154" s="1399"/>
      <c r="AK154" s="1399"/>
      <c r="AL154" s="1398"/>
      <c r="AM154" s="1417" t="s">
        <v>322</v>
      </c>
      <c r="AN154" s="1418"/>
      <c r="AO154" s="1418"/>
      <c r="AP154" s="1419"/>
      <c r="AQ154" s="1419"/>
      <c r="AR154" s="1419"/>
      <c r="AS154" s="1419"/>
      <c r="AT154" s="1419"/>
      <c r="AU154" s="1415"/>
      <c r="AV154" s="1399"/>
      <c r="AW154" s="1399"/>
      <c r="AX154" s="1399"/>
      <c r="AY154" s="1398"/>
      <c r="BT154" s="159"/>
    </row>
    <row r="155" spans="2:72" ht="20.100000000000001" customHeight="1" x14ac:dyDescent="0.25">
      <c r="B155" s="1014"/>
      <c r="C155" s="1358">
        <f t="shared" si="2"/>
        <v>151</v>
      </c>
      <c r="T155" s="1398"/>
      <c r="U155" s="1399"/>
      <c r="V155" s="1399"/>
      <c r="W155" s="1399"/>
      <c r="X155" s="1399"/>
      <c r="Y155" s="1398"/>
      <c r="Z155" s="1399"/>
      <c r="AA155" s="1399"/>
      <c r="AB155" s="1399"/>
      <c r="AC155" s="1398"/>
      <c r="AD155" s="1399"/>
      <c r="AE155" s="1399"/>
      <c r="AF155" s="1399"/>
      <c r="AG155" s="1399"/>
      <c r="AH155" s="1398"/>
      <c r="AI155" s="1399"/>
      <c r="AJ155" s="1399"/>
      <c r="AK155" s="1399"/>
      <c r="AL155" s="1398"/>
      <c r="AM155" s="1399"/>
      <c r="AN155" s="1399"/>
      <c r="AO155" s="1399"/>
      <c r="AP155" s="1417" t="s">
        <v>322</v>
      </c>
      <c r="AQ155" s="1418"/>
      <c r="AR155" s="1418"/>
      <c r="AS155" s="1418"/>
      <c r="AT155" s="1418"/>
      <c r="AU155" s="1418"/>
      <c r="AV155" s="1418"/>
      <c r="AW155" s="1418"/>
      <c r="AX155" s="1418"/>
      <c r="AY155" s="1414"/>
      <c r="BT155" s="159"/>
    </row>
    <row r="156" spans="2:72" ht="20.100000000000001" customHeight="1" x14ac:dyDescent="0.25">
      <c r="B156" s="1014"/>
      <c r="C156" s="1358">
        <f t="shared" si="2"/>
        <v>152</v>
      </c>
      <c r="T156" s="1398"/>
      <c r="U156" s="1399"/>
      <c r="V156" s="1399"/>
      <c r="W156" s="1399"/>
      <c r="X156" s="1399"/>
      <c r="Y156" s="1387" t="s">
        <v>315</v>
      </c>
      <c r="Z156" s="1388"/>
      <c r="AA156" s="1388"/>
      <c r="AB156" s="1388"/>
      <c r="AC156" s="1388"/>
      <c r="AD156" s="1388"/>
      <c r="AE156" s="1388"/>
      <c r="AF156" s="1388"/>
      <c r="AG156" s="1388"/>
      <c r="AH156" s="1388"/>
      <c r="AI156" s="1388"/>
      <c r="AJ156" s="1388"/>
      <c r="AK156" s="1388"/>
      <c r="AL156" s="1398"/>
      <c r="AM156" s="1399"/>
      <c r="AN156" s="1399"/>
      <c r="AO156" s="1399"/>
      <c r="AP156" s="1398"/>
      <c r="AQ156" s="1399"/>
      <c r="AR156" s="1399"/>
      <c r="AS156" s="1399"/>
      <c r="AT156" s="1398"/>
      <c r="AU156" s="1399"/>
      <c r="AV156" s="1399"/>
      <c r="AW156" s="1399"/>
      <c r="AX156" s="1399"/>
      <c r="AY156" s="1398"/>
      <c r="BT156" s="159"/>
    </row>
    <row r="157" spans="2:72" ht="20.100000000000001" customHeight="1" x14ac:dyDescent="0.25">
      <c r="B157" s="1014"/>
      <c r="C157" s="1358">
        <f t="shared" si="2"/>
        <v>153</v>
      </c>
      <c r="T157" s="1398"/>
      <c r="U157" s="1399"/>
      <c r="V157" s="1399"/>
      <c r="W157" s="1399"/>
      <c r="X157" s="1399"/>
      <c r="Y157" s="1389"/>
      <c r="Z157" s="1390"/>
      <c r="AA157" s="1390"/>
      <c r="AB157" s="1390"/>
      <c r="AC157" s="1390"/>
      <c r="AD157" s="1390"/>
      <c r="AE157" s="1390"/>
      <c r="AF157" s="1390"/>
      <c r="AG157" s="1390"/>
      <c r="AH157" s="1390"/>
      <c r="AI157" s="1390"/>
      <c r="AJ157" s="1390"/>
      <c r="AK157" s="1390"/>
      <c r="AL157" s="1398"/>
      <c r="AM157" s="1399"/>
      <c r="AN157" s="1399"/>
      <c r="AO157" s="1399"/>
      <c r="AP157" s="1398"/>
      <c r="AQ157" s="1399"/>
      <c r="AR157" s="1399"/>
      <c r="AS157" s="1399"/>
      <c r="AT157" s="1398"/>
      <c r="AU157" s="1399"/>
      <c r="AV157" s="1399"/>
      <c r="AW157" s="1399"/>
      <c r="AX157" s="1399"/>
      <c r="AY157" s="1398"/>
      <c r="BT157" s="159"/>
    </row>
    <row r="158" spans="2:72" ht="20.100000000000001" customHeight="1" x14ac:dyDescent="0.25">
      <c r="B158" s="1014"/>
      <c r="C158" s="1358">
        <f t="shared" si="2"/>
        <v>154</v>
      </c>
      <c r="T158" s="1398"/>
      <c r="U158" s="1399"/>
      <c r="V158" s="1399"/>
      <c r="W158" s="1399"/>
      <c r="X158" s="1399"/>
      <c r="Y158" s="1391"/>
      <c r="Z158" s="1392"/>
      <c r="AA158" s="1392"/>
      <c r="AB158" s="1392"/>
      <c r="AC158" s="1392"/>
      <c r="AD158" s="1392"/>
      <c r="AE158" s="1392"/>
      <c r="AF158" s="1392"/>
      <c r="AG158" s="1392"/>
      <c r="AH158" s="1392"/>
      <c r="AI158" s="1392"/>
      <c r="AJ158" s="1392"/>
      <c r="AK158" s="1392"/>
      <c r="AL158" s="1398"/>
      <c r="AM158" s="1399"/>
      <c r="AN158" s="1399"/>
      <c r="AO158" s="1399"/>
      <c r="AP158" s="1398"/>
      <c r="AQ158" s="1399"/>
      <c r="AR158" s="1399"/>
      <c r="AS158" s="1399"/>
      <c r="AT158" s="1398"/>
      <c r="AU158" s="1399"/>
      <c r="AV158" s="1399"/>
      <c r="AW158" s="1399"/>
      <c r="AX158" s="1399"/>
      <c r="AY158" s="1398"/>
      <c r="BT158" s="159"/>
    </row>
    <row r="159" spans="2:72" ht="20.100000000000001" customHeight="1" x14ac:dyDescent="0.25">
      <c r="B159" s="1014"/>
      <c r="C159" s="1358">
        <f t="shared" si="2"/>
        <v>155</v>
      </c>
      <c r="T159" s="1398"/>
      <c r="U159" s="1399"/>
      <c r="V159" s="1399"/>
      <c r="W159" s="1399"/>
      <c r="X159" s="1399"/>
      <c r="Y159" s="1398"/>
      <c r="Z159" s="1399"/>
      <c r="AA159" s="1399"/>
      <c r="AB159" s="1399"/>
      <c r="AC159" s="1398"/>
      <c r="AD159" s="1393" t="s">
        <v>316</v>
      </c>
      <c r="AE159" s="1394"/>
      <c r="AF159" s="1394"/>
      <c r="AG159" s="1394"/>
      <c r="AH159" s="1394"/>
      <c r="AI159" s="1394"/>
      <c r="AJ159" s="1394"/>
      <c r="AK159" s="1394"/>
      <c r="AL159" s="1395"/>
      <c r="AM159" s="1395"/>
      <c r="AN159" s="1395"/>
      <c r="AO159" s="1395"/>
      <c r="AP159" s="1388"/>
      <c r="AQ159" s="1399"/>
      <c r="AR159" s="1399"/>
      <c r="AS159" s="1399"/>
      <c r="AT159" s="1398"/>
      <c r="AU159" s="1399"/>
      <c r="AV159" s="1399"/>
      <c r="AW159" s="1399"/>
      <c r="AX159" s="1399"/>
      <c r="AY159" s="1398"/>
      <c r="BT159" s="159"/>
    </row>
    <row r="160" spans="2:72" ht="20.100000000000001" customHeight="1" x14ac:dyDescent="0.25">
      <c r="B160" s="1014"/>
      <c r="C160" s="1358">
        <f t="shared" si="2"/>
        <v>156</v>
      </c>
      <c r="T160" s="1398"/>
      <c r="U160" s="1399"/>
      <c r="V160" s="1399"/>
      <c r="W160" s="1399"/>
      <c r="X160" s="1399"/>
      <c r="Y160" s="1398"/>
      <c r="Z160" s="1399"/>
      <c r="AA160" s="1399"/>
      <c r="AB160" s="1399"/>
      <c r="AC160" s="1398"/>
      <c r="AD160" s="1393"/>
      <c r="AE160" s="1394"/>
      <c r="AF160" s="1394"/>
      <c r="AG160" s="1394"/>
      <c r="AH160" s="1394"/>
      <c r="AI160" s="1394"/>
      <c r="AJ160" s="1394"/>
      <c r="AK160" s="1394"/>
      <c r="AL160" s="1394"/>
      <c r="AM160" s="1394"/>
      <c r="AN160" s="1394"/>
      <c r="AO160" s="1394"/>
      <c r="AP160" s="1390"/>
      <c r="AQ160" s="1399"/>
      <c r="AR160" s="1399"/>
      <c r="AS160" s="1399"/>
      <c r="AT160" s="1398"/>
      <c r="AU160" s="1399"/>
      <c r="AV160" s="1399"/>
      <c r="AW160" s="1399"/>
      <c r="AX160" s="1399"/>
      <c r="AY160" s="1398"/>
      <c r="BT160" s="159"/>
    </row>
    <row r="161" spans="2:163" ht="20.100000000000001" customHeight="1" x14ac:dyDescent="0.25">
      <c r="B161" s="1014"/>
      <c r="C161" s="1358">
        <f t="shared" si="2"/>
        <v>157</v>
      </c>
      <c r="T161" s="1398"/>
      <c r="U161" s="1399"/>
      <c r="V161" s="1399"/>
      <c r="W161" s="1399"/>
      <c r="X161" s="1399"/>
      <c r="Y161" s="1398"/>
      <c r="Z161" s="1399"/>
      <c r="AA161" s="1399"/>
      <c r="AB161" s="1399"/>
      <c r="AC161" s="1398"/>
      <c r="AD161" s="1396"/>
      <c r="AE161" s="1397"/>
      <c r="AF161" s="1397"/>
      <c r="AG161" s="1397"/>
      <c r="AH161" s="1397"/>
      <c r="AI161" s="1397"/>
      <c r="AJ161" s="1397"/>
      <c r="AK161" s="1397"/>
      <c r="AL161" s="1397"/>
      <c r="AM161" s="1397"/>
      <c r="AN161" s="1397"/>
      <c r="AO161" s="1397"/>
      <c r="AP161" s="1392"/>
      <c r="AQ161" s="1399"/>
      <c r="AR161" s="1399"/>
      <c r="AS161" s="1399"/>
      <c r="AT161" s="1398"/>
      <c r="AU161" s="1399"/>
      <c r="AV161" s="1399"/>
      <c r="AW161" s="1399"/>
      <c r="AX161" s="1399"/>
      <c r="AY161" s="1398"/>
      <c r="BT161" s="159"/>
    </row>
    <row r="162" spans="2:163" ht="20.100000000000001" customHeight="1" x14ac:dyDescent="0.25">
      <c r="B162" s="1014"/>
      <c r="C162" s="1358">
        <f t="shared" si="2"/>
        <v>158</v>
      </c>
      <c r="T162" s="1398"/>
      <c r="U162" s="1399"/>
      <c r="V162" s="1399"/>
      <c r="W162" s="1399"/>
      <c r="X162" s="1399"/>
      <c r="Y162" s="1398"/>
      <c r="Z162" s="1399"/>
      <c r="AA162" s="1399"/>
      <c r="AB162" s="1399"/>
      <c r="AC162" s="1398"/>
      <c r="AD162" s="1399"/>
      <c r="AE162" s="1399"/>
      <c r="AF162" s="1399"/>
      <c r="AG162" s="1399"/>
      <c r="AH162" s="1398"/>
      <c r="AI162" s="1393" t="s">
        <v>317</v>
      </c>
      <c r="AJ162" s="1394"/>
      <c r="AK162" s="1394"/>
      <c r="AL162" s="1394"/>
      <c r="AM162" s="1394"/>
      <c r="AN162" s="1394"/>
      <c r="AO162" s="1394"/>
      <c r="AP162" s="1394"/>
      <c r="AQ162" s="1395"/>
      <c r="AR162" s="1395"/>
      <c r="AS162" s="1395"/>
      <c r="AT162" s="1395"/>
      <c r="AU162" s="1388"/>
      <c r="AV162" s="1399"/>
      <c r="AW162" s="1399"/>
      <c r="AX162" s="1399"/>
      <c r="AY162" s="1398"/>
      <c r="BT162" s="159"/>
    </row>
    <row r="163" spans="2:163" ht="20.100000000000001" customHeight="1" x14ac:dyDescent="0.25">
      <c r="B163" s="1014"/>
      <c r="C163" s="1358">
        <f t="shared" ref="C163:C164" si="3">C162+1</f>
        <v>159</v>
      </c>
      <c r="T163" s="1398"/>
      <c r="U163" s="1399"/>
      <c r="V163" s="1399"/>
      <c r="W163" s="1399"/>
      <c r="X163" s="1399"/>
      <c r="Y163" s="1398"/>
      <c r="Z163" s="1399"/>
      <c r="AA163" s="1399"/>
      <c r="AB163" s="1399"/>
      <c r="AC163" s="1398"/>
      <c r="AD163" s="1399"/>
      <c r="AE163" s="1399"/>
      <c r="AF163" s="1399"/>
      <c r="AG163" s="1399"/>
      <c r="AH163" s="1398"/>
      <c r="AI163" s="1393"/>
      <c r="AJ163" s="1394"/>
      <c r="AK163" s="1394"/>
      <c r="AL163" s="1394"/>
      <c r="AM163" s="1394"/>
      <c r="AN163" s="1394"/>
      <c r="AO163" s="1394"/>
      <c r="AP163" s="1394"/>
      <c r="AQ163" s="1394"/>
      <c r="AR163" s="1394"/>
      <c r="AS163" s="1394"/>
      <c r="AT163" s="1394"/>
      <c r="AU163" s="1390"/>
      <c r="AV163" s="1399"/>
      <c r="AW163" s="1399"/>
      <c r="AX163" s="1399"/>
      <c r="AY163" s="1398"/>
      <c r="BT163" s="159"/>
    </row>
    <row r="164" spans="2:163" s="564" customFormat="1" ht="20.100000000000001" customHeight="1" x14ac:dyDescent="0.25">
      <c r="B164" s="1015"/>
      <c r="C164" s="1359">
        <f t="shared" si="3"/>
        <v>160</v>
      </c>
      <c r="G164" s="567"/>
      <c r="L164" s="565"/>
      <c r="P164" s="565"/>
      <c r="T164" s="1400"/>
      <c r="U164" s="1401"/>
      <c r="V164" s="1401"/>
      <c r="W164" s="1401"/>
      <c r="X164" s="1401"/>
      <c r="Y164" s="1400"/>
      <c r="Z164" s="1401"/>
      <c r="AA164" s="1401"/>
      <c r="AB164" s="1401"/>
      <c r="AC164" s="1400"/>
      <c r="AD164" s="1401"/>
      <c r="AE164" s="1401"/>
      <c r="AF164" s="1401"/>
      <c r="AG164" s="1401"/>
      <c r="AH164" s="1400"/>
      <c r="AI164" s="1396"/>
      <c r="AJ164" s="1397"/>
      <c r="AK164" s="1397"/>
      <c r="AL164" s="1397"/>
      <c r="AM164" s="1397"/>
      <c r="AN164" s="1397"/>
      <c r="AO164" s="1397"/>
      <c r="AP164" s="1397"/>
      <c r="AQ164" s="1397"/>
      <c r="AR164" s="1397"/>
      <c r="AS164" s="1397"/>
      <c r="AT164" s="1397"/>
      <c r="AU164" s="1392"/>
      <c r="AV164" s="1401"/>
      <c r="AW164" s="1401"/>
      <c r="AX164" s="1401"/>
      <c r="AY164" s="1400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9" priority="2" operator="equal">
      <formula>"C"</formula>
    </cfRule>
    <cfRule type="cellIs" dxfId="48" priority="3" operator="equal">
      <formula>"R"</formula>
    </cfRule>
  </conditionalFormatting>
  <conditionalFormatting sqref="AJ45">
    <cfRule type="cellIs" dxfId="4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tabSelected="1" zoomScale="30" zoomScaleNormal="30" workbookViewId="0">
      <pane xSplit="3" ySplit="4" topLeftCell="V5" activePane="bottomRight" state="frozen"/>
      <selection pane="topRight" activeCell="C1" sqref="C1"/>
      <selection pane="bottomLeft" activeCell="A4" sqref="A4"/>
      <selection pane="bottomRight" activeCell="CI69" sqref="CI69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791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1364"/>
      <c r="G1" s="1420"/>
      <c r="L1" s="1421"/>
      <c r="P1" s="1421"/>
      <c r="T1" s="1421"/>
      <c r="Y1" s="1421"/>
      <c r="AC1" s="1421"/>
      <c r="AH1" s="1421"/>
      <c r="AL1" s="1421"/>
      <c r="AP1" s="1421"/>
      <c r="AT1" s="1421"/>
      <c r="AY1" s="1421"/>
      <c r="BC1" s="1421"/>
      <c r="BG1" s="1420"/>
      <c r="BL1" s="1421"/>
      <c r="BP1" s="1421"/>
      <c r="BY1" s="1421"/>
      <c r="CC1" s="1421"/>
      <c r="CH1" s="1421"/>
      <c r="CL1" s="1421"/>
      <c r="CP1" s="1421"/>
      <c r="CT1" s="1421"/>
      <c r="CY1" s="1421"/>
      <c r="DC1" s="1421"/>
      <c r="DG1" s="1420"/>
      <c r="DL1" s="1421"/>
      <c r="DP1" s="1421"/>
      <c r="DT1" s="1421"/>
      <c r="DY1" s="1421"/>
      <c r="EC1" s="1421"/>
      <c r="EH1" s="1421"/>
      <c r="EL1" s="1421"/>
      <c r="EP1" s="1421"/>
      <c r="ET1" s="1421"/>
      <c r="EY1" s="1421"/>
      <c r="FC1" s="1421"/>
      <c r="FG1" s="1420"/>
      <c r="FL1" s="1421"/>
      <c r="FP1" s="1421"/>
      <c r="FT1" s="1421"/>
      <c r="FY1" s="1421"/>
      <c r="GC1" s="1421"/>
      <c r="GH1" s="1421"/>
      <c r="GL1" s="1421"/>
      <c r="GP1" s="1421"/>
      <c r="GT1" s="1421"/>
      <c r="GY1" s="1421"/>
      <c r="HC1" s="1421"/>
      <c r="HG1" s="1420"/>
      <c r="HL1" s="1421"/>
      <c r="HP1" s="1421"/>
      <c r="HT1" s="1421"/>
      <c r="HY1" s="1421"/>
      <c r="IC1" s="1421"/>
      <c r="IH1" s="1421"/>
      <c r="IL1" s="1421"/>
      <c r="IP1" s="1421"/>
      <c r="IT1" s="1421"/>
      <c r="IY1" s="1421"/>
      <c r="JC1" s="1421"/>
      <c r="JG1" s="1420"/>
      <c r="JL1" s="1421"/>
      <c r="JP1" s="1421"/>
      <c r="JT1" s="1421"/>
      <c r="JY1" s="1421"/>
      <c r="KC1" s="1421"/>
      <c r="KH1" s="1421"/>
      <c r="KL1" s="1421"/>
      <c r="KP1" s="1421"/>
      <c r="KT1" s="1421"/>
      <c r="KY1" s="1421"/>
      <c r="LC1" s="1421"/>
      <c r="LG1" s="1420"/>
      <c r="LL1" s="1421"/>
      <c r="LP1" s="1421"/>
      <c r="LT1" s="1421"/>
      <c r="LY1" s="1421"/>
      <c r="MC1" s="1421"/>
      <c r="MH1" s="1421"/>
      <c r="ML1" s="1421"/>
      <c r="MP1" s="1421"/>
      <c r="MT1" s="1421"/>
      <c r="MY1" s="1421"/>
      <c r="NC1" s="1421"/>
      <c r="NG1" s="1420"/>
      <c r="NL1" s="1421"/>
      <c r="NP1" s="1421"/>
      <c r="NT1" s="1421"/>
      <c r="NY1" s="1421"/>
      <c r="OC1" s="1421"/>
      <c r="OH1" s="1421"/>
      <c r="OL1" s="1421"/>
      <c r="OP1" s="1421"/>
      <c r="OT1" s="1421"/>
      <c r="OY1" s="1421"/>
      <c r="PC1" s="1421"/>
      <c r="PG1" s="1420"/>
      <c r="PL1" s="1421"/>
      <c r="PP1" s="1421"/>
      <c r="PT1" s="1421"/>
      <c r="PY1" s="1421"/>
      <c r="QC1" s="1421"/>
      <c r="QH1" s="1421"/>
      <c r="QL1" s="1421"/>
      <c r="QP1" s="1421"/>
      <c r="QT1" s="1421"/>
      <c r="QY1" s="1421"/>
      <c r="RC1" s="1421"/>
      <c r="RG1" s="1420"/>
    </row>
    <row r="2" spans="1:475" s="1429" customFormat="1" ht="80.25" customHeight="1" x14ac:dyDescent="0.25">
      <c r="C2" s="1574"/>
      <c r="D2" s="1553" t="s">
        <v>242</v>
      </c>
      <c r="E2" s="1553"/>
      <c r="F2" s="1553"/>
      <c r="G2" s="1553"/>
      <c r="H2" s="1554">
        <v>2025</v>
      </c>
      <c r="I2" s="1555"/>
      <c r="J2" s="1555"/>
      <c r="K2" s="1555"/>
      <c r="L2" s="1555"/>
      <c r="M2" s="1555"/>
      <c r="N2" s="1555"/>
      <c r="O2" s="1555"/>
      <c r="P2" s="1555"/>
      <c r="Q2" s="1555"/>
      <c r="R2" s="1555"/>
      <c r="S2" s="1555"/>
      <c r="T2" s="1555"/>
      <c r="U2" s="1555"/>
      <c r="V2" s="1555"/>
      <c r="W2" s="1555"/>
      <c r="X2" s="1555"/>
      <c r="Y2" s="1555"/>
      <c r="Z2" s="1555"/>
      <c r="AA2" s="1555"/>
      <c r="AB2" s="1555"/>
      <c r="AC2" s="1555"/>
      <c r="AD2" s="1555"/>
      <c r="AE2" s="1555"/>
      <c r="AF2" s="1555"/>
      <c r="AG2" s="1555"/>
      <c r="AH2" s="1555"/>
      <c r="AI2" s="1555"/>
      <c r="AJ2" s="1555"/>
      <c r="AK2" s="1555"/>
      <c r="AL2" s="1555"/>
      <c r="AM2" s="1555"/>
      <c r="AN2" s="1555"/>
      <c r="AO2" s="1555"/>
      <c r="AP2" s="1555"/>
      <c r="AQ2" s="1555"/>
      <c r="AR2" s="1555"/>
      <c r="AS2" s="1555"/>
      <c r="AT2" s="1555"/>
      <c r="AU2" s="1555"/>
      <c r="AV2" s="1555"/>
      <c r="AW2" s="1555"/>
      <c r="AX2" s="1555"/>
      <c r="AY2" s="1555"/>
      <c r="AZ2" s="1555"/>
      <c r="BA2" s="1555"/>
      <c r="BB2" s="1555"/>
      <c r="BC2" s="1555"/>
      <c r="BD2" s="1555"/>
      <c r="BE2" s="1555"/>
      <c r="BF2" s="1555"/>
      <c r="BG2" s="1556"/>
      <c r="BH2" s="1557">
        <v>2026</v>
      </c>
      <c r="BI2" s="1558"/>
      <c r="BJ2" s="1558"/>
      <c r="BK2" s="1558"/>
      <c r="BL2" s="1558"/>
      <c r="BM2" s="1558"/>
      <c r="BN2" s="1558"/>
      <c r="BO2" s="1558"/>
      <c r="BP2" s="1558"/>
      <c r="BQ2" s="1558"/>
      <c r="BR2" s="1558"/>
      <c r="BS2" s="1558"/>
      <c r="BT2" s="1558"/>
      <c r="BU2" s="1558"/>
      <c r="BV2" s="1558"/>
      <c r="BW2" s="1558"/>
      <c r="BX2" s="1558"/>
      <c r="BY2" s="1558"/>
      <c r="BZ2" s="1558"/>
      <c r="CA2" s="1558"/>
      <c r="CB2" s="1558"/>
      <c r="CC2" s="1558"/>
      <c r="CD2" s="1558"/>
      <c r="CE2" s="1558"/>
      <c r="CF2" s="1558"/>
      <c r="CG2" s="1558"/>
      <c r="CH2" s="1558"/>
      <c r="CI2" s="1558"/>
      <c r="CJ2" s="1558"/>
      <c r="CK2" s="1558"/>
      <c r="CL2" s="1558"/>
      <c r="CM2" s="1558"/>
      <c r="CN2" s="1558"/>
      <c r="CO2" s="1558"/>
      <c r="CP2" s="1558"/>
      <c r="CQ2" s="1558"/>
      <c r="CR2" s="1558"/>
      <c r="CS2" s="1558"/>
      <c r="CT2" s="1558"/>
      <c r="CU2" s="1558"/>
      <c r="CV2" s="1558"/>
      <c r="CW2" s="1558"/>
      <c r="CX2" s="1558"/>
      <c r="CY2" s="1558"/>
      <c r="CZ2" s="1558"/>
      <c r="DA2" s="1558"/>
      <c r="DB2" s="1558"/>
      <c r="DC2" s="1558"/>
      <c r="DD2" s="1558"/>
      <c r="DE2" s="1558"/>
      <c r="DF2" s="1558"/>
      <c r="DG2" s="1558"/>
      <c r="DH2" s="1559">
        <v>2027</v>
      </c>
      <c r="DI2" s="1560"/>
      <c r="DJ2" s="1560"/>
      <c r="DK2" s="1560"/>
      <c r="DL2" s="1560"/>
      <c r="DM2" s="1560"/>
      <c r="DN2" s="1560"/>
      <c r="DO2" s="1560"/>
      <c r="DP2" s="1560"/>
      <c r="DQ2" s="1560"/>
      <c r="DR2" s="1560"/>
      <c r="DS2" s="1560"/>
      <c r="DT2" s="1560"/>
      <c r="DU2" s="1560"/>
      <c r="DV2" s="1560"/>
      <c r="DW2" s="1560"/>
      <c r="DX2" s="1560"/>
      <c r="DY2" s="1560"/>
      <c r="DZ2" s="1560"/>
      <c r="EA2" s="1560"/>
      <c r="EB2" s="1560"/>
      <c r="EC2" s="1560"/>
      <c r="ED2" s="1560"/>
      <c r="EE2" s="1560"/>
      <c r="EF2" s="1560"/>
      <c r="EG2" s="1560"/>
      <c r="EH2" s="1560"/>
      <c r="EI2" s="1560"/>
      <c r="EJ2" s="1560"/>
      <c r="EK2" s="1560"/>
      <c r="EL2" s="1560"/>
      <c r="EM2" s="1560"/>
      <c r="EN2" s="1560"/>
      <c r="EO2" s="1560"/>
      <c r="EP2" s="1560"/>
      <c r="EQ2" s="1560"/>
      <c r="ER2" s="1560"/>
      <c r="ES2" s="1560"/>
      <c r="ET2" s="1560"/>
      <c r="EU2" s="1560"/>
      <c r="EV2" s="1560"/>
      <c r="EW2" s="1560"/>
      <c r="EX2" s="1560"/>
      <c r="EY2" s="1560"/>
      <c r="EZ2" s="1560"/>
      <c r="FA2" s="1560"/>
      <c r="FB2" s="1560"/>
      <c r="FC2" s="1560"/>
      <c r="FD2" s="1560"/>
      <c r="FE2" s="1560"/>
      <c r="FF2" s="1560"/>
      <c r="FG2" s="1560"/>
      <c r="FH2" s="1561">
        <v>2028</v>
      </c>
      <c r="FI2" s="1562"/>
      <c r="FJ2" s="1562"/>
      <c r="FK2" s="1562"/>
      <c r="FL2" s="1562"/>
      <c r="FM2" s="1562"/>
      <c r="FN2" s="1562"/>
      <c r="FO2" s="1562"/>
      <c r="FP2" s="1562"/>
      <c r="FQ2" s="1562"/>
      <c r="FR2" s="1562"/>
      <c r="FS2" s="1562"/>
      <c r="FT2" s="1562"/>
      <c r="FU2" s="1562"/>
      <c r="FV2" s="1562"/>
      <c r="FW2" s="1562"/>
      <c r="FX2" s="1562"/>
      <c r="FY2" s="1562"/>
      <c r="FZ2" s="1562"/>
      <c r="GA2" s="1562"/>
      <c r="GB2" s="1562"/>
      <c r="GC2" s="1562"/>
      <c r="GD2" s="1562"/>
      <c r="GE2" s="1562"/>
      <c r="GF2" s="1562"/>
      <c r="GG2" s="1562"/>
      <c r="GH2" s="1562"/>
      <c r="GI2" s="1562"/>
      <c r="GJ2" s="1562"/>
      <c r="GK2" s="1562"/>
      <c r="GL2" s="1562"/>
      <c r="GM2" s="1562"/>
      <c r="GN2" s="1562"/>
      <c r="GO2" s="1562"/>
      <c r="GP2" s="1562"/>
      <c r="GQ2" s="1562"/>
      <c r="GR2" s="1562"/>
      <c r="GS2" s="1562"/>
      <c r="GT2" s="1562"/>
      <c r="GU2" s="1562"/>
      <c r="GV2" s="1562"/>
      <c r="GW2" s="1562"/>
      <c r="GX2" s="1562"/>
      <c r="GY2" s="1562"/>
      <c r="GZ2" s="1562"/>
      <c r="HA2" s="1562"/>
      <c r="HB2" s="1562"/>
      <c r="HC2" s="1562"/>
      <c r="HD2" s="1562"/>
      <c r="HE2" s="1562"/>
      <c r="HF2" s="1562"/>
      <c r="HG2" s="1562"/>
      <c r="HH2" s="1563">
        <v>2029</v>
      </c>
      <c r="HI2" s="1564"/>
      <c r="HJ2" s="1564"/>
      <c r="HK2" s="1564"/>
      <c r="HL2" s="1564"/>
      <c r="HM2" s="1564"/>
      <c r="HN2" s="1564"/>
      <c r="HO2" s="1564"/>
      <c r="HP2" s="1564"/>
      <c r="HQ2" s="1564"/>
      <c r="HR2" s="1564"/>
      <c r="HS2" s="1564"/>
      <c r="HT2" s="1564"/>
      <c r="HU2" s="1564"/>
      <c r="HV2" s="1564"/>
      <c r="HW2" s="1564"/>
      <c r="HX2" s="1564"/>
      <c r="HY2" s="1564"/>
      <c r="HZ2" s="1564"/>
      <c r="IA2" s="1564"/>
      <c r="IB2" s="1564"/>
      <c r="IC2" s="1564"/>
      <c r="ID2" s="1564"/>
      <c r="IE2" s="1564"/>
      <c r="IF2" s="1564"/>
      <c r="IG2" s="1564"/>
      <c r="IH2" s="1564"/>
      <c r="II2" s="1564"/>
      <c r="IJ2" s="1564"/>
      <c r="IK2" s="1564"/>
      <c r="IL2" s="1564"/>
      <c r="IM2" s="1564"/>
      <c r="IN2" s="1564"/>
      <c r="IO2" s="1564"/>
      <c r="IP2" s="1564"/>
      <c r="IQ2" s="1564"/>
      <c r="IR2" s="1564"/>
      <c r="IS2" s="1564"/>
      <c r="IT2" s="1564"/>
      <c r="IU2" s="1564"/>
      <c r="IV2" s="1564"/>
      <c r="IW2" s="1564"/>
      <c r="IX2" s="1564"/>
      <c r="IY2" s="1564"/>
      <c r="IZ2" s="1564"/>
      <c r="JA2" s="1564"/>
      <c r="JB2" s="1564"/>
      <c r="JC2" s="1564"/>
      <c r="JD2" s="1564"/>
      <c r="JE2" s="1564"/>
      <c r="JF2" s="1564"/>
      <c r="JG2" s="1564"/>
      <c r="JH2" s="1565">
        <v>2030</v>
      </c>
      <c r="JI2" s="1566"/>
      <c r="JJ2" s="1566"/>
      <c r="JK2" s="1566"/>
      <c r="JL2" s="1566"/>
      <c r="JM2" s="1566"/>
      <c r="JN2" s="1566"/>
      <c r="JO2" s="1566"/>
      <c r="JP2" s="1566"/>
      <c r="JQ2" s="1566"/>
      <c r="JR2" s="1566"/>
      <c r="JS2" s="1566"/>
      <c r="JT2" s="1566"/>
      <c r="JU2" s="1566"/>
      <c r="JV2" s="1566"/>
      <c r="JW2" s="1566"/>
      <c r="JX2" s="1566"/>
      <c r="JY2" s="1566"/>
      <c r="JZ2" s="1566"/>
      <c r="KA2" s="1566"/>
      <c r="KB2" s="1566"/>
      <c r="KC2" s="1566"/>
      <c r="KD2" s="1566"/>
      <c r="KE2" s="1566"/>
      <c r="KF2" s="1566"/>
      <c r="KG2" s="1566"/>
      <c r="KH2" s="1566"/>
      <c r="KI2" s="1566"/>
      <c r="KJ2" s="1566"/>
      <c r="KK2" s="1566"/>
      <c r="KL2" s="1566"/>
      <c r="KM2" s="1566"/>
      <c r="KN2" s="1566"/>
      <c r="KO2" s="1566"/>
      <c r="KP2" s="1566"/>
      <c r="KQ2" s="1566"/>
      <c r="KR2" s="1566"/>
      <c r="KS2" s="1566"/>
      <c r="KT2" s="1566"/>
      <c r="KU2" s="1566"/>
      <c r="KV2" s="1566"/>
      <c r="KW2" s="1566"/>
      <c r="KX2" s="1566"/>
      <c r="KY2" s="1566"/>
      <c r="KZ2" s="1566"/>
      <c r="LA2" s="1566"/>
      <c r="LB2" s="1566"/>
      <c r="LC2" s="1566"/>
      <c r="LD2" s="1566"/>
      <c r="LE2" s="1566"/>
      <c r="LF2" s="1566"/>
      <c r="LG2" s="1566"/>
      <c r="LH2" s="1567">
        <v>2031</v>
      </c>
      <c r="LI2" s="1568"/>
      <c r="LJ2" s="1568"/>
      <c r="LK2" s="1568"/>
      <c r="LL2" s="1568"/>
      <c r="LM2" s="1568"/>
      <c r="LN2" s="1568"/>
      <c r="LO2" s="1568"/>
      <c r="LP2" s="1568"/>
      <c r="LQ2" s="1568"/>
      <c r="LR2" s="1568"/>
      <c r="LS2" s="1568"/>
      <c r="LT2" s="1568"/>
      <c r="LU2" s="1568"/>
      <c r="LV2" s="1568"/>
      <c r="LW2" s="1568"/>
      <c r="LX2" s="1568"/>
      <c r="LY2" s="1568"/>
      <c r="LZ2" s="1568"/>
      <c r="MA2" s="1568"/>
      <c r="MB2" s="1568"/>
      <c r="MC2" s="1568"/>
      <c r="MD2" s="1568"/>
      <c r="ME2" s="1568"/>
      <c r="MF2" s="1568"/>
      <c r="MG2" s="1568"/>
      <c r="MH2" s="1568"/>
      <c r="MI2" s="1568"/>
      <c r="MJ2" s="1568"/>
      <c r="MK2" s="1568"/>
      <c r="ML2" s="1568"/>
      <c r="MM2" s="1568"/>
      <c r="MN2" s="1568"/>
      <c r="MO2" s="1568"/>
      <c r="MP2" s="1568"/>
      <c r="MQ2" s="1568"/>
      <c r="MR2" s="1568"/>
      <c r="MS2" s="1568"/>
      <c r="MT2" s="1568"/>
      <c r="MU2" s="1568"/>
      <c r="MV2" s="1568"/>
      <c r="MW2" s="1568"/>
      <c r="MX2" s="1568"/>
      <c r="MY2" s="1568"/>
      <c r="MZ2" s="1568"/>
      <c r="NA2" s="1568"/>
      <c r="NB2" s="1568"/>
      <c r="NC2" s="1568"/>
      <c r="ND2" s="1568"/>
      <c r="NE2" s="1568"/>
      <c r="NF2" s="1568"/>
      <c r="NG2" s="1569"/>
      <c r="NH2" s="1570">
        <v>2032</v>
      </c>
      <c r="NI2" s="1571"/>
      <c r="NJ2" s="1571"/>
      <c r="NK2" s="1571"/>
      <c r="NL2" s="1571"/>
      <c r="NM2" s="1571"/>
      <c r="NN2" s="1571"/>
      <c r="NO2" s="1571"/>
      <c r="NP2" s="1571"/>
      <c r="NQ2" s="1571"/>
      <c r="NR2" s="1571"/>
      <c r="NS2" s="1571"/>
      <c r="NT2" s="1571"/>
      <c r="NU2" s="1571"/>
      <c r="NV2" s="1571"/>
      <c r="NW2" s="1571"/>
      <c r="NX2" s="1571"/>
      <c r="NY2" s="1571"/>
      <c r="NZ2" s="1571"/>
      <c r="OA2" s="1571"/>
      <c r="OB2" s="1571"/>
      <c r="OC2" s="1571"/>
      <c r="OD2" s="1571"/>
      <c r="OE2" s="1571"/>
      <c r="OF2" s="1571"/>
      <c r="OG2" s="1571"/>
      <c r="OH2" s="1571"/>
      <c r="OI2" s="1571"/>
      <c r="OJ2" s="1571"/>
      <c r="OK2" s="1571"/>
      <c r="OL2" s="1571"/>
      <c r="OM2" s="1571"/>
      <c r="ON2" s="1571"/>
      <c r="OO2" s="1571"/>
      <c r="OP2" s="1571"/>
      <c r="OQ2" s="1571"/>
      <c r="OR2" s="1571"/>
      <c r="OS2" s="1571"/>
      <c r="OT2" s="1571"/>
      <c r="OU2" s="1571"/>
      <c r="OV2" s="1571"/>
      <c r="OW2" s="1571"/>
      <c r="OX2" s="1571"/>
      <c r="OY2" s="1571"/>
      <c r="OZ2" s="1571"/>
      <c r="PA2" s="1571"/>
      <c r="PB2" s="1571"/>
      <c r="PC2" s="1571"/>
      <c r="PD2" s="1571"/>
      <c r="PE2" s="1571"/>
      <c r="PF2" s="1571"/>
      <c r="PG2" s="1571"/>
      <c r="PH2" s="1572">
        <v>2034</v>
      </c>
      <c r="PI2" s="1573"/>
      <c r="PJ2" s="1573"/>
      <c r="PK2" s="1573"/>
      <c r="PL2" s="1573"/>
      <c r="PM2" s="1573"/>
      <c r="PN2" s="1573"/>
      <c r="PO2" s="1573"/>
      <c r="PP2" s="1573"/>
      <c r="PQ2" s="1573"/>
      <c r="PR2" s="1573"/>
      <c r="PS2" s="1573"/>
      <c r="PT2" s="1573"/>
      <c r="PU2" s="1573"/>
      <c r="PV2" s="1573"/>
      <c r="PW2" s="1573"/>
      <c r="PX2" s="1573"/>
      <c r="PY2" s="1573"/>
      <c r="PZ2" s="1573"/>
      <c r="QA2" s="1573"/>
      <c r="QB2" s="1573"/>
      <c r="QC2" s="1573"/>
      <c r="QD2" s="1573"/>
      <c r="QE2" s="1573"/>
      <c r="QF2" s="1573"/>
      <c r="QG2" s="1573"/>
      <c r="QH2" s="1573"/>
      <c r="QI2" s="1573"/>
      <c r="QJ2" s="1573"/>
      <c r="QK2" s="1573"/>
      <c r="QL2" s="1573"/>
      <c r="QM2" s="1573"/>
      <c r="QN2" s="1573"/>
      <c r="QO2" s="1573"/>
      <c r="QP2" s="1573"/>
      <c r="QQ2" s="1573"/>
      <c r="QR2" s="1573"/>
      <c r="QS2" s="1573"/>
      <c r="QT2" s="1573"/>
      <c r="QU2" s="1573"/>
      <c r="QV2" s="1573"/>
      <c r="QW2" s="1573"/>
      <c r="QX2" s="1573"/>
      <c r="QY2" s="1573"/>
      <c r="QZ2" s="1573"/>
      <c r="RA2" s="1573"/>
      <c r="RB2" s="1573"/>
      <c r="RC2" s="1573"/>
      <c r="RD2" s="1573"/>
      <c r="RE2" s="1573"/>
      <c r="RF2" s="1573"/>
      <c r="RG2" s="1573"/>
    </row>
    <row r="3" spans="1:475" s="1552" customFormat="1" ht="72" customHeight="1" x14ac:dyDescent="0.25">
      <c r="A3" s="1552" t="s">
        <v>241</v>
      </c>
      <c r="D3" s="1545" t="s">
        <v>12</v>
      </c>
      <c r="E3" s="1546"/>
      <c r="F3" s="1546"/>
      <c r="G3" s="1547"/>
      <c r="H3" s="1548" t="s">
        <v>1</v>
      </c>
      <c r="I3" s="1548"/>
      <c r="J3" s="1548"/>
      <c r="K3" s="1548"/>
      <c r="L3" s="1548"/>
      <c r="M3" s="1549" t="s">
        <v>2</v>
      </c>
      <c r="N3" s="1550"/>
      <c r="O3" s="1550"/>
      <c r="P3" s="1551"/>
      <c r="Q3" s="1549" t="s">
        <v>3</v>
      </c>
      <c r="R3" s="1550"/>
      <c r="S3" s="1550"/>
      <c r="T3" s="1551"/>
      <c r="U3" s="1549" t="s">
        <v>4</v>
      </c>
      <c r="V3" s="1550"/>
      <c r="W3" s="1550"/>
      <c r="X3" s="1550"/>
      <c r="Y3" s="1551"/>
      <c r="Z3" s="1549" t="s">
        <v>5</v>
      </c>
      <c r="AA3" s="1550"/>
      <c r="AB3" s="1550"/>
      <c r="AC3" s="1551"/>
      <c r="AD3" s="1549" t="s">
        <v>6</v>
      </c>
      <c r="AE3" s="1550"/>
      <c r="AF3" s="1550"/>
      <c r="AG3" s="1550"/>
      <c r="AH3" s="1551"/>
      <c r="AI3" s="1549" t="s">
        <v>7</v>
      </c>
      <c r="AJ3" s="1550"/>
      <c r="AK3" s="1550"/>
      <c r="AL3" s="1551"/>
      <c r="AM3" s="1549" t="s">
        <v>8</v>
      </c>
      <c r="AN3" s="1550"/>
      <c r="AO3" s="1550"/>
      <c r="AP3" s="1551"/>
      <c r="AQ3" s="1548" t="s">
        <v>9</v>
      </c>
      <c r="AR3" s="1548"/>
      <c r="AS3" s="1548"/>
      <c r="AT3" s="1548"/>
      <c r="AU3" s="1548" t="s">
        <v>10</v>
      </c>
      <c r="AV3" s="1548"/>
      <c r="AW3" s="1548"/>
      <c r="AX3" s="1548"/>
      <c r="AY3" s="1548"/>
      <c r="AZ3" s="1548" t="s">
        <v>11</v>
      </c>
      <c r="BA3" s="1548"/>
      <c r="BB3" s="1548"/>
      <c r="BC3" s="1548"/>
      <c r="BD3" s="1549" t="s">
        <v>12</v>
      </c>
      <c r="BE3" s="1550"/>
      <c r="BF3" s="1550"/>
      <c r="BG3" s="1551"/>
      <c r="BH3" s="1548" t="s">
        <v>1</v>
      </c>
      <c r="BI3" s="1548"/>
      <c r="BJ3" s="1548"/>
      <c r="BK3" s="1548"/>
      <c r="BL3" s="1548"/>
      <c r="BM3" s="1549" t="s">
        <v>2</v>
      </c>
      <c r="BN3" s="1550"/>
      <c r="BO3" s="1550"/>
      <c r="BP3" s="1551"/>
      <c r="BQ3" s="1549" t="s">
        <v>3</v>
      </c>
      <c r="BR3" s="1550"/>
      <c r="BS3" s="1550"/>
      <c r="BT3" s="1551"/>
      <c r="BU3" s="1549" t="s">
        <v>4</v>
      </c>
      <c r="BV3" s="1550"/>
      <c r="BW3" s="1550"/>
      <c r="BX3" s="1550"/>
      <c r="BY3" s="1551"/>
      <c r="BZ3" s="1549" t="s">
        <v>5</v>
      </c>
      <c r="CA3" s="1550"/>
      <c r="CB3" s="1550"/>
      <c r="CC3" s="1551"/>
      <c r="CD3" s="1549" t="s">
        <v>6</v>
      </c>
      <c r="CE3" s="1550"/>
      <c r="CF3" s="1550"/>
      <c r="CG3" s="1550"/>
      <c r="CH3" s="1551"/>
      <c r="CI3" s="1549" t="s">
        <v>7</v>
      </c>
      <c r="CJ3" s="1550"/>
      <c r="CK3" s="1550"/>
      <c r="CL3" s="1551"/>
      <c r="CM3" s="1549" t="s">
        <v>8</v>
      </c>
      <c r="CN3" s="1550"/>
      <c r="CO3" s="1550"/>
      <c r="CP3" s="1551"/>
      <c r="CQ3" s="1548" t="s">
        <v>9</v>
      </c>
      <c r="CR3" s="1548"/>
      <c r="CS3" s="1548"/>
      <c r="CT3" s="1548"/>
      <c r="CU3" s="1548" t="s">
        <v>10</v>
      </c>
      <c r="CV3" s="1548"/>
      <c r="CW3" s="1548"/>
      <c r="CX3" s="1548"/>
      <c r="CY3" s="1548"/>
      <c r="CZ3" s="1548" t="s">
        <v>11</v>
      </c>
      <c r="DA3" s="1548"/>
      <c r="DB3" s="1548"/>
      <c r="DC3" s="1548"/>
      <c r="DD3" s="1549" t="s">
        <v>12</v>
      </c>
      <c r="DE3" s="1550"/>
      <c r="DF3" s="1550"/>
      <c r="DG3" s="1551"/>
      <c r="DH3" s="1548" t="s">
        <v>1</v>
      </c>
      <c r="DI3" s="1548"/>
      <c r="DJ3" s="1548"/>
      <c r="DK3" s="1548"/>
      <c r="DL3" s="1548"/>
      <c r="DM3" s="1549" t="s">
        <v>2</v>
      </c>
      <c r="DN3" s="1550"/>
      <c r="DO3" s="1550"/>
      <c r="DP3" s="1551"/>
      <c r="DQ3" s="1549" t="s">
        <v>3</v>
      </c>
      <c r="DR3" s="1550"/>
      <c r="DS3" s="1550"/>
      <c r="DT3" s="1551"/>
      <c r="DU3" s="1549" t="s">
        <v>4</v>
      </c>
      <c r="DV3" s="1550"/>
      <c r="DW3" s="1550"/>
      <c r="DX3" s="1550"/>
      <c r="DY3" s="1551"/>
      <c r="DZ3" s="1549" t="s">
        <v>5</v>
      </c>
      <c r="EA3" s="1550"/>
      <c r="EB3" s="1550"/>
      <c r="EC3" s="1551"/>
      <c r="ED3" s="1549" t="s">
        <v>6</v>
      </c>
      <c r="EE3" s="1550"/>
      <c r="EF3" s="1550"/>
      <c r="EG3" s="1550"/>
      <c r="EH3" s="1551"/>
      <c r="EI3" s="1549" t="s">
        <v>7</v>
      </c>
      <c r="EJ3" s="1550"/>
      <c r="EK3" s="1550"/>
      <c r="EL3" s="1551"/>
      <c r="EM3" s="1549" t="s">
        <v>8</v>
      </c>
      <c r="EN3" s="1550"/>
      <c r="EO3" s="1550"/>
      <c r="EP3" s="1551"/>
      <c r="EQ3" s="1548" t="s">
        <v>9</v>
      </c>
      <c r="ER3" s="1548"/>
      <c r="ES3" s="1548"/>
      <c r="ET3" s="1548"/>
      <c r="EU3" s="1548" t="s">
        <v>10</v>
      </c>
      <c r="EV3" s="1548"/>
      <c r="EW3" s="1548"/>
      <c r="EX3" s="1548"/>
      <c r="EY3" s="1548"/>
      <c r="EZ3" s="1548" t="s">
        <v>11</v>
      </c>
      <c r="FA3" s="1548"/>
      <c r="FB3" s="1548"/>
      <c r="FC3" s="1548"/>
      <c r="FD3" s="1549" t="s">
        <v>12</v>
      </c>
      <c r="FE3" s="1550"/>
      <c r="FF3" s="1550"/>
      <c r="FG3" s="1551"/>
      <c r="FH3" s="1548" t="s">
        <v>1</v>
      </c>
      <c r="FI3" s="1548"/>
      <c r="FJ3" s="1548"/>
      <c r="FK3" s="1548"/>
      <c r="FL3" s="1548"/>
      <c r="FM3" s="1549" t="s">
        <v>2</v>
      </c>
      <c r="FN3" s="1550"/>
      <c r="FO3" s="1550"/>
      <c r="FP3" s="1551"/>
      <c r="FQ3" s="1549" t="s">
        <v>3</v>
      </c>
      <c r="FR3" s="1550"/>
      <c r="FS3" s="1550"/>
      <c r="FT3" s="1551"/>
      <c r="FU3" s="1549" t="s">
        <v>4</v>
      </c>
      <c r="FV3" s="1550"/>
      <c r="FW3" s="1550"/>
      <c r="FX3" s="1550"/>
      <c r="FY3" s="1551"/>
      <c r="FZ3" s="1549" t="s">
        <v>5</v>
      </c>
      <c r="GA3" s="1550"/>
      <c r="GB3" s="1550"/>
      <c r="GC3" s="1551"/>
      <c r="GD3" s="1549" t="s">
        <v>6</v>
      </c>
      <c r="GE3" s="1550"/>
      <c r="GF3" s="1550"/>
      <c r="GG3" s="1550"/>
      <c r="GH3" s="1551"/>
      <c r="GI3" s="1549" t="s">
        <v>7</v>
      </c>
      <c r="GJ3" s="1550"/>
      <c r="GK3" s="1550"/>
      <c r="GL3" s="1551"/>
      <c r="GM3" s="1549" t="s">
        <v>8</v>
      </c>
      <c r="GN3" s="1550"/>
      <c r="GO3" s="1550"/>
      <c r="GP3" s="1551"/>
      <c r="GQ3" s="1548" t="s">
        <v>9</v>
      </c>
      <c r="GR3" s="1548"/>
      <c r="GS3" s="1548"/>
      <c r="GT3" s="1548"/>
      <c r="GU3" s="1548" t="s">
        <v>10</v>
      </c>
      <c r="GV3" s="1548"/>
      <c r="GW3" s="1548"/>
      <c r="GX3" s="1548"/>
      <c r="GY3" s="1548"/>
      <c r="GZ3" s="1548" t="s">
        <v>11</v>
      </c>
      <c r="HA3" s="1548"/>
      <c r="HB3" s="1548"/>
      <c r="HC3" s="1548"/>
      <c r="HD3" s="1549" t="s">
        <v>12</v>
      </c>
      <c r="HE3" s="1550"/>
      <c r="HF3" s="1550"/>
      <c r="HG3" s="1551"/>
      <c r="HH3" s="1548" t="s">
        <v>1</v>
      </c>
      <c r="HI3" s="1548"/>
      <c r="HJ3" s="1548"/>
      <c r="HK3" s="1548"/>
      <c r="HL3" s="1548"/>
      <c r="HM3" s="1549" t="s">
        <v>2</v>
      </c>
      <c r="HN3" s="1550"/>
      <c r="HO3" s="1550"/>
      <c r="HP3" s="1551"/>
      <c r="HQ3" s="1549" t="s">
        <v>3</v>
      </c>
      <c r="HR3" s="1550"/>
      <c r="HS3" s="1550"/>
      <c r="HT3" s="1551"/>
      <c r="HU3" s="1549" t="s">
        <v>4</v>
      </c>
      <c r="HV3" s="1550"/>
      <c r="HW3" s="1550"/>
      <c r="HX3" s="1550"/>
      <c r="HY3" s="1551"/>
      <c r="HZ3" s="1549" t="s">
        <v>5</v>
      </c>
      <c r="IA3" s="1550"/>
      <c r="IB3" s="1550"/>
      <c r="IC3" s="1551"/>
      <c r="ID3" s="1549" t="s">
        <v>6</v>
      </c>
      <c r="IE3" s="1550"/>
      <c r="IF3" s="1550"/>
      <c r="IG3" s="1550"/>
      <c r="IH3" s="1551"/>
      <c r="II3" s="1549" t="s">
        <v>7</v>
      </c>
      <c r="IJ3" s="1550"/>
      <c r="IK3" s="1550"/>
      <c r="IL3" s="1551"/>
      <c r="IM3" s="1549" t="s">
        <v>8</v>
      </c>
      <c r="IN3" s="1550"/>
      <c r="IO3" s="1550"/>
      <c r="IP3" s="1551"/>
      <c r="IQ3" s="1548" t="s">
        <v>9</v>
      </c>
      <c r="IR3" s="1548"/>
      <c r="IS3" s="1548"/>
      <c r="IT3" s="1548"/>
      <c r="IU3" s="1548" t="s">
        <v>10</v>
      </c>
      <c r="IV3" s="1548"/>
      <c r="IW3" s="1548"/>
      <c r="IX3" s="1548"/>
      <c r="IY3" s="1548"/>
      <c r="IZ3" s="1548" t="s">
        <v>11</v>
      </c>
      <c r="JA3" s="1548"/>
      <c r="JB3" s="1548"/>
      <c r="JC3" s="1548"/>
      <c r="JD3" s="1549" t="s">
        <v>12</v>
      </c>
      <c r="JE3" s="1550"/>
      <c r="JF3" s="1550"/>
      <c r="JG3" s="1551"/>
      <c r="JH3" s="1548" t="s">
        <v>1</v>
      </c>
      <c r="JI3" s="1548"/>
      <c r="JJ3" s="1548"/>
      <c r="JK3" s="1548"/>
      <c r="JL3" s="1548"/>
      <c r="JM3" s="1549" t="s">
        <v>2</v>
      </c>
      <c r="JN3" s="1550"/>
      <c r="JO3" s="1550"/>
      <c r="JP3" s="1551"/>
      <c r="JQ3" s="1549" t="s">
        <v>3</v>
      </c>
      <c r="JR3" s="1550"/>
      <c r="JS3" s="1550"/>
      <c r="JT3" s="1551"/>
      <c r="JU3" s="1549" t="s">
        <v>4</v>
      </c>
      <c r="JV3" s="1550"/>
      <c r="JW3" s="1550"/>
      <c r="JX3" s="1550"/>
      <c r="JY3" s="1551"/>
      <c r="JZ3" s="1549" t="s">
        <v>5</v>
      </c>
      <c r="KA3" s="1550"/>
      <c r="KB3" s="1550"/>
      <c r="KC3" s="1551"/>
      <c r="KD3" s="1549" t="s">
        <v>6</v>
      </c>
      <c r="KE3" s="1550"/>
      <c r="KF3" s="1550"/>
      <c r="KG3" s="1550"/>
      <c r="KH3" s="1551"/>
      <c r="KI3" s="1549" t="s">
        <v>7</v>
      </c>
      <c r="KJ3" s="1550"/>
      <c r="KK3" s="1550"/>
      <c r="KL3" s="1551"/>
      <c r="KM3" s="1549" t="s">
        <v>8</v>
      </c>
      <c r="KN3" s="1550"/>
      <c r="KO3" s="1550"/>
      <c r="KP3" s="1551"/>
      <c r="KQ3" s="1548" t="s">
        <v>9</v>
      </c>
      <c r="KR3" s="1548"/>
      <c r="KS3" s="1548"/>
      <c r="KT3" s="1548"/>
      <c r="KU3" s="1548" t="s">
        <v>10</v>
      </c>
      <c r="KV3" s="1548"/>
      <c r="KW3" s="1548"/>
      <c r="KX3" s="1548"/>
      <c r="KY3" s="1548"/>
      <c r="KZ3" s="1548" t="s">
        <v>11</v>
      </c>
      <c r="LA3" s="1548"/>
      <c r="LB3" s="1548"/>
      <c r="LC3" s="1548"/>
      <c r="LD3" s="1549" t="s">
        <v>12</v>
      </c>
      <c r="LE3" s="1550"/>
      <c r="LF3" s="1550"/>
      <c r="LG3" s="1551"/>
      <c r="LH3" s="1548" t="s">
        <v>1</v>
      </c>
      <c r="LI3" s="1548"/>
      <c r="LJ3" s="1548"/>
      <c r="LK3" s="1548"/>
      <c r="LL3" s="1548"/>
      <c r="LM3" s="1549" t="s">
        <v>2</v>
      </c>
      <c r="LN3" s="1550"/>
      <c r="LO3" s="1550"/>
      <c r="LP3" s="1551"/>
      <c r="LQ3" s="1549" t="s">
        <v>3</v>
      </c>
      <c r="LR3" s="1550"/>
      <c r="LS3" s="1550"/>
      <c r="LT3" s="1551"/>
      <c r="LU3" s="1549" t="s">
        <v>4</v>
      </c>
      <c r="LV3" s="1550"/>
      <c r="LW3" s="1550"/>
      <c r="LX3" s="1550"/>
      <c r="LY3" s="1551"/>
      <c r="LZ3" s="1549" t="s">
        <v>5</v>
      </c>
      <c r="MA3" s="1550"/>
      <c r="MB3" s="1550"/>
      <c r="MC3" s="1551"/>
      <c r="MD3" s="1549" t="s">
        <v>6</v>
      </c>
      <c r="ME3" s="1550"/>
      <c r="MF3" s="1550"/>
      <c r="MG3" s="1550"/>
      <c r="MH3" s="1551"/>
      <c r="MI3" s="1549" t="s">
        <v>7</v>
      </c>
      <c r="MJ3" s="1550"/>
      <c r="MK3" s="1550"/>
      <c r="ML3" s="1551"/>
      <c r="MM3" s="1549" t="s">
        <v>8</v>
      </c>
      <c r="MN3" s="1550"/>
      <c r="MO3" s="1550"/>
      <c r="MP3" s="1551"/>
      <c r="MQ3" s="1548" t="s">
        <v>9</v>
      </c>
      <c r="MR3" s="1548"/>
      <c r="MS3" s="1548"/>
      <c r="MT3" s="1548"/>
      <c r="MU3" s="1548" t="s">
        <v>10</v>
      </c>
      <c r="MV3" s="1548"/>
      <c r="MW3" s="1548"/>
      <c r="MX3" s="1548"/>
      <c r="MY3" s="1548"/>
      <c r="MZ3" s="1548" t="s">
        <v>11</v>
      </c>
      <c r="NA3" s="1548"/>
      <c r="NB3" s="1548"/>
      <c r="NC3" s="1548"/>
      <c r="ND3" s="1549" t="s">
        <v>12</v>
      </c>
      <c r="NE3" s="1550"/>
      <c r="NF3" s="1550"/>
      <c r="NG3" s="1551"/>
      <c r="NH3" s="1548" t="s">
        <v>1</v>
      </c>
      <c r="NI3" s="1548"/>
      <c r="NJ3" s="1548"/>
      <c r="NK3" s="1548"/>
      <c r="NL3" s="1548"/>
      <c r="NM3" s="1549" t="s">
        <v>2</v>
      </c>
      <c r="NN3" s="1550"/>
      <c r="NO3" s="1550"/>
      <c r="NP3" s="1551"/>
      <c r="NQ3" s="1549" t="s">
        <v>3</v>
      </c>
      <c r="NR3" s="1550"/>
      <c r="NS3" s="1550"/>
      <c r="NT3" s="1551"/>
      <c r="NU3" s="1549" t="s">
        <v>4</v>
      </c>
      <c r="NV3" s="1550"/>
      <c r="NW3" s="1550"/>
      <c r="NX3" s="1550"/>
      <c r="NY3" s="1551"/>
      <c r="NZ3" s="1549" t="s">
        <v>5</v>
      </c>
      <c r="OA3" s="1550"/>
      <c r="OB3" s="1550"/>
      <c r="OC3" s="1551"/>
      <c r="OD3" s="1549" t="s">
        <v>6</v>
      </c>
      <c r="OE3" s="1550"/>
      <c r="OF3" s="1550"/>
      <c r="OG3" s="1550"/>
      <c r="OH3" s="1551"/>
      <c r="OI3" s="1549" t="s">
        <v>7</v>
      </c>
      <c r="OJ3" s="1550"/>
      <c r="OK3" s="1550"/>
      <c r="OL3" s="1551"/>
      <c r="OM3" s="1549" t="s">
        <v>8</v>
      </c>
      <c r="ON3" s="1550"/>
      <c r="OO3" s="1550"/>
      <c r="OP3" s="1551"/>
      <c r="OQ3" s="1548" t="s">
        <v>9</v>
      </c>
      <c r="OR3" s="1548"/>
      <c r="OS3" s="1548"/>
      <c r="OT3" s="1548"/>
      <c r="OU3" s="1548" t="s">
        <v>10</v>
      </c>
      <c r="OV3" s="1548"/>
      <c r="OW3" s="1548"/>
      <c r="OX3" s="1548"/>
      <c r="OY3" s="1548"/>
      <c r="OZ3" s="1548" t="s">
        <v>11</v>
      </c>
      <c r="PA3" s="1548"/>
      <c r="PB3" s="1548"/>
      <c r="PC3" s="1548"/>
      <c r="PD3" s="1549" t="s">
        <v>12</v>
      </c>
      <c r="PE3" s="1550"/>
      <c r="PF3" s="1550"/>
      <c r="PG3" s="1551"/>
      <c r="PH3" s="1548" t="s">
        <v>1</v>
      </c>
      <c r="PI3" s="1548"/>
      <c r="PJ3" s="1548"/>
      <c r="PK3" s="1548"/>
      <c r="PL3" s="1548"/>
      <c r="PM3" s="1549" t="s">
        <v>2</v>
      </c>
      <c r="PN3" s="1550"/>
      <c r="PO3" s="1550"/>
      <c r="PP3" s="1551"/>
      <c r="PQ3" s="1549" t="s">
        <v>3</v>
      </c>
      <c r="PR3" s="1550"/>
      <c r="PS3" s="1550"/>
      <c r="PT3" s="1551"/>
      <c r="PU3" s="1549" t="s">
        <v>4</v>
      </c>
      <c r="PV3" s="1550"/>
      <c r="PW3" s="1550"/>
      <c r="PX3" s="1550"/>
      <c r="PY3" s="1551"/>
      <c r="PZ3" s="1549" t="s">
        <v>5</v>
      </c>
      <c r="QA3" s="1550"/>
      <c r="QB3" s="1550"/>
      <c r="QC3" s="1551"/>
      <c r="QD3" s="1549" t="s">
        <v>6</v>
      </c>
      <c r="QE3" s="1550"/>
      <c r="QF3" s="1550"/>
      <c r="QG3" s="1550"/>
      <c r="QH3" s="1551"/>
      <c r="QI3" s="1549" t="s">
        <v>7</v>
      </c>
      <c r="QJ3" s="1550"/>
      <c r="QK3" s="1550"/>
      <c r="QL3" s="1551"/>
      <c r="QM3" s="1549" t="s">
        <v>8</v>
      </c>
      <c r="QN3" s="1550"/>
      <c r="QO3" s="1550"/>
      <c r="QP3" s="1551"/>
      <c r="QQ3" s="1548" t="s">
        <v>9</v>
      </c>
      <c r="QR3" s="1548"/>
      <c r="QS3" s="1548"/>
      <c r="QT3" s="1548"/>
      <c r="QU3" s="1548" t="s">
        <v>10</v>
      </c>
      <c r="QV3" s="1548"/>
      <c r="QW3" s="1548"/>
      <c r="QX3" s="1548"/>
      <c r="QY3" s="1548"/>
      <c r="QZ3" s="1548" t="s">
        <v>11</v>
      </c>
      <c r="RA3" s="1548"/>
      <c r="RB3" s="1548"/>
      <c r="RC3" s="1548"/>
      <c r="RD3" s="1549" t="s">
        <v>12</v>
      </c>
      <c r="RE3" s="1550"/>
      <c r="RF3" s="1550"/>
      <c r="RG3" s="1551"/>
    </row>
    <row r="4" spans="1:475" s="1422" customFormat="1" ht="77.25" customHeight="1" x14ac:dyDescent="0.25">
      <c r="B4" s="1365" t="s">
        <v>275</v>
      </c>
      <c r="C4" s="1361" t="s">
        <v>162</v>
      </c>
      <c r="D4" s="1366" t="s">
        <v>61</v>
      </c>
      <c r="E4" s="1366" t="s">
        <v>62</v>
      </c>
      <c r="F4" s="1366" t="s">
        <v>63</v>
      </c>
      <c r="G4" s="1367" t="s">
        <v>64</v>
      </c>
      <c r="H4" s="1368" t="s">
        <v>13</v>
      </c>
      <c r="I4" s="1366" t="s">
        <v>14</v>
      </c>
      <c r="J4" s="1366" t="s">
        <v>15</v>
      </c>
      <c r="K4" s="1366" t="s">
        <v>16</v>
      </c>
      <c r="L4" s="1366" t="s">
        <v>17</v>
      </c>
      <c r="M4" s="1368" t="s">
        <v>18</v>
      </c>
      <c r="N4" s="1366" t="s">
        <v>19</v>
      </c>
      <c r="O4" s="1366" t="s">
        <v>20</v>
      </c>
      <c r="P4" s="1366" t="s">
        <v>21</v>
      </c>
      <c r="Q4" s="1368" t="s">
        <v>22</v>
      </c>
      <c r="R4" s="1366" t="s">
        <v>23</v>
      </c>
      <c r="S4" s="1366" t="s">
        <v>24</v>
      </c>
      <c r="T4" s="1366" t="s">
        <v>25</v>
      </c>
      <c r="U4" s="1368" t="s">
        <v>26</v>
      </c>
      <c r="V4" s="1366" t="s">
        <v>27</v>
      </c>
      <c r="W4" s="1366" t="s">
        <v>28</v>
      </c>
      <c r="X4" s="1366" t="s">
        <v>29</v>
      </c>
      <c r="Y4" s="1366" t="s">
        <v>30</v>
      </c>
      <c r="Z4" s="1368" t="s">
        <v>31</v>
      </c>
      <c r="AA4" s="1366" t="s">
        <v>32</v>
      </c>
      <c r="AB4" s="1366" t="s">
        <v>33</v>
      </c>
      <c r="AC4" s="1366" t="s">
        <v>34</v>
      </c>
      <c r="AD4" s="1368" t="s">
        <v>35</v>
      </c>
      <c r="AE4" s="1366" t="s">
        <v>36</v>
      </c>
      <c r="AF4" s="1366" t="s">
        <v>37</v>
      </c>
      <c r="AG4" s="1366" t="s">
        <v>38</v>
      </c>
      <c r="AH4" s="1366" t="s">
        <v>39</v>
      </c>
      <c r="AI4" s="1368" t="s">
        <v>40</v>
      </c>
      <c r="AJ4" s="1366" t="s">
        <v>41</v>
      </c>
      <c r="AK4" s="1366" t="s">
        <v>42</v>
      </c>
      <c r="AL4" s="1366" t="s">
        <v>43</v>
      </c>
      <c r="AM4" s="1368" t="s">
        <v>44</v>
      </c>
      <c r="AN4" s="1366" t="s">
        <v>45</v>
      </c>
      <c r="AO4" s="1366" t="s">
        <v>46</v>
      </c>
      <c r="AP4" s="1366" t="s">
        <v>47</v>
      </c>
      <c r="AQ4" s="1368" t="s">
        <v>48</v>
      </c>
      <c r="AR4" s="1366" t="s">
        <v>49</v>
      </c>
      <c r="AS4" s="1366" t="s">
        <v>50</v>
      </c>
      <c r="AT4" s="1366" t="s">
        <v>51</v>
      </c>
      <c r="AU4" s="1368" t="s">
        <v>52</v>
      </c>
      <c r="AV4" s="1366" t="s">
        <v>53</v>
      </c>
      <c r="AW4" s="1366" t="s">
        <v>54</v>
      </c>
      <c r="AX4" s="1366" t="s">
        <v>55</v>
      </c>
      <c r="AY4" s="1366" t="s">
        <v>56</v>
      </c>
      <c r="AZ4" s="1368" t="s">
        <v>57</v>
      </c>
      <c r="BA4" s="1366" t="s">
        <v>58</v>
      </c>
      <c r="BB4" s="1366" t="s">
        <v>59</v>
      </c>
      <c r="BC4" s="1366" t="s">
        <v>60</v>
      </c>
      <c r="BD4" s="1368" t="s">
        <v>61</v>
      </c>
      <c r="BE4" s="1366" t="s">
        <v>62</v>
      </c>
      <c r="BF4" s="1366" t="s">
        <v>63</v>
      </c>
      <c r="BG4" s="1367" t="s">
        <v>64</v>
      </c>
      <c r="BH4" s="1368" t="s">
        <v>13</v>
      </c>
      <c r="BI4" s="1366" t="s">
        <v>14</v>
      </c>
      <c r="BJ4" s="1366" t="s">
        <v>15</v>
      </c>
      <c r="BK4" s="1366" t="s">
        <v>16</v>
      </c>
      <c r="BL4" s="1366" t="s">
        <v>17</v>
      </c>
      <c r="BM4" s="1368" t="s">
        <v>18</v>
      </c>
      <c r="BN4" s="1366" t="s">
        <v>19</v>
      </c>
      <c r="BO4" s="1366" t="s">
        <v>20</v>
      </c>
      <c r="BP4" s="1366" t="s">
        <v>21</v>
      </c>
      <c r="BQ4" s="1368" t="s">
        <v>22</v>
      </c>
      <c r="BR4" s="1366" t="s">
        <v>23</v>
      </c>
      <c r="BS4" s="1366" t="s">
        <v>24</v>
      </c>
      <c r="BT4" s="1366" t="s">
        <v>25</v>
      </c>
      <c r="BU4" s="1366" t="s">
        <v>26</v>
      </c>
      <c r="BV4" s="1366" t="s">
        <v>27</v>
      </c>
      <c r="BW4" s="1366" t="s">
        <v>28</v>
      </c>
      <c r="BX4" s="1366" t="s">
        <v>29</v>
      </c>
      <c r="BY4" s="1366" t="s">
        <v>30</v>
      </c>
      <c r="BZ4" s="1368" t="s">
        <v>31</v>
      </c>
      <c r="CA4" s="1366" t="s">
        <v>32</v>
      </c>
      <c r="CB4" s="1366" t="s">
        <v>33</v>
      </c>
      <c r="CC4" s="1366" t="s">
        <v>34</v>
      </c>
      <c r="CD4" s="1368" t="s">
        <v>35</v>
      </c>
      <c r="CE4" s="1366" t="s">
        <v>36</v>
      </c>
      <c r="CF4" s="1366" t="s">
        <v>37</v>
      </c>
      <c r="CG4" s="1366" t="s">
        <v>38</v>
      </c>
      <c r="CH4" s="1366" t="s">
        <v>39</v>
      </c>
      <c r="CI4" s="1368" t="s">
        <v>40</v>
      </c>
      <c r="CJ4" s="1366" t="s">
        <v>41</v>
      </c>
      <c r="CK4" s="1366" t="s">
        <v>42</v>
      </c>
      <c r="CL4" s="1366" t="s">
        <v>43</v>
      </c>
      <c r="CM4" s="1368" t="s">
        <v>44</v>
      </c>
      <c r="CN4" s="1366" t="s">
        <v>45</v>
      </c>
      <c r="CO4" s="1366" t="s">
        <v>46</v>
      </c>
      <c r="CP4" s="1366" t="s">
        <v>47</v>
      </c>
      <c r="CQ4" s="1368" t="s">
        <v>48</v>
      </c>
      <c r="CR4" s="1366" t="s">
        <v>49</v>
      </c>
      <c r="CS4" s="1366" t="s">
        <v>50</v>
      </c>
      <c r="CT4" s="1366" t="s">
        <v>51</v>
      </c>
      <c r="CU4" s="1368" t="s">
        <v>52</v>
      </c>
      <c r="CV4" s="1366" t="s">
        <v>53</v>
      </c>
      <c r="CW4" s="1366" t="s">
        <v>54</v>
      </c>
      <c r="CX4" s="1366" t="s">
        <v>55</v>
      </c>
      <c r="CY4" s="1366" t="s">
        <v>56</v>
      </c>
      <c r="CZ4" s="1368" t="s">
        <v>57</v>
      </c>
      <c r="DA4" s="1366" t="s">
        <v>58</v>
      </c>
      <c r="DB4" s="1366" t="s">
        <v>59</v>
      </c>
      <c r="DC4" s="1366" t="s">
        <v>60</v>
      </c>
      <c r="DD4" s="1368" t="s">
        <v>61</v>
      </c>
      <c r="DE4" s="1366" t="s">
        <v>62</v>
      </c>
      <c r="DF4" s="1366" t="s">
        <v>63</v>
      </c>
      <c r="DG4" s="1367" t="s">
        <v>64</v>
      </c>
      <c r="DH4" s="1368" t="s">
        <v>13</v>
      </c>
      <c r="DI4" s="1366" t="s">
        <v>14</v>
      </c>
      <c r="DJ4" s="1366" t="s">
        <v>15</v>
      </c>
      <c r="DK4" s="1366" t="s">
        <v>16</v>
      </c>
      <c r="DL4" s="1366" t="s">
        <v>17</v>
      </c>
      <c r="DM4" s="1368" t="s">
        <v>18</v>
      </c>
      <c r="DN4" s="1366" t="s">
        <v>19</v>
      </c>
      <c r="DO4" s="1366" t="s">
        <v>20</v>
      </c>
      <c r="DP4" s="1366" t="s">
        <v>21</v>
      </c>
      <c r="DQ4" s="1368" t="s">
        <v>22</v>
      </c>
      <c r="DR4" s="1366" t="s">
        <v>23</v>
      </c>
      <c r="DS4" s="1366" t="s">
        <v>24</v>
      </c>
      <c r="DT4" s="1366" t="s">
        <v>25</v>
      </c>
      <c r="DU4" s="1368" t="s">
        <v>26</v>
      </c>
      <c r="DV4" s="1366" t="s">
        <v>27</v>
      </c>
      <c r="DW4" s="1366" t="s">
        <v>28</v>
      </c>
      <c r="DX4" s="1366" t="s">
        <v>29</v>
      </c>
      <c r="DY4" s="1366" t="s">
        <v>30</v>
      </c>
      <c r="DZ4" s="1368" t="s">
        <v>31</v>
      </c>
      <c r="EA4" s="1366" t="s">
        <v>32</v>
      </c>
      <c r="EB4" s="1366" t="s">
        <v>33</v>
      </c>
      <c r="EC4" s="1366" t="s">
        <v>34</v>
      </c>
      <c r="ED4" s="1368" t="s">
        <v>35</v>
      </c>
      <c r="EE4" s="1366" t="s">
        <v>36</v>
      </c>
      <c r="EF4" s="1366" t="s">
        <v>37</v>
      </c>
      <c r="EG4" s="1366" t="s">
        <v>38</v>
      </c>
      <c r="EH4" s="1366" t="s">
        <v>39</v>
      </c>
      <c r="EI4" s="1368" t="s">
        <v>40</v>
      </c>
      <c r="EJ4" s="1366" t="s">
        <v>41</v>
      </c>
      <c r="EK4" s="1366" t="s">
        <v>42</v>
      </c>
      <c r="EL4" s="1366" t="s">
        <v>43</v>
      </c>
      <c r="EM4" s="1368" t="s">
        <v>44</v>
      </c>
      <c r="EN4" s="1366" t="s">
        <v>45</v>
      </c>
      <c r="EO4" s="1366" t="s">
        <v>46</v>
      </c>
      <c r="EP4" s="1366" t="s">
        <v>47</v>
      </c>
      <c r="EQ4" s="1368" t="s">
        <v>48</v>
      </c>
      <c r="ER4" s="1366" t="s">
        <v>49</v>
      </c>
      <c r="ES4" s="1366" t="s">
        <v>50</v>
      </c>
      <c r="ET4" s="1366" t="s">
        <v>51</v>
      </c>
      <c r="EU4" s="1368" t="s">
        <v>52</v>
      </c>
      <c r="EV4" s="1366" t="s">
        <v>53</v>
      </c>
      <c r="EW4" s="1366" t="s">
        <v>54</v>
      </c>
      <c r="EX4" s="1366" t="s">
        <v>55</v>
      </c>
      <c r="EY4" s="1366" t="s">
        <v>56</v>
      </c>
      <c r="EZ4" s="1368" t="s">
        <v>57</v>
      </c>
      <c r="FA4" s="1366" t="s">
        <v>58</v>
      </c>
      <c r="FB4" s="1366" t="s">
        <v>59</v>
      </c>
      <c r="FC4" s="1366" t="s">
        <v>60</v>
      </c>
      <c r="FD4" s="1368" t="s">
        <v>61</v>
      </c>
      <c r="FE4" s="1366" t="s">
        <v>62</v>
      </c>
      <c r="FF4" s="1366" t="s">
        <v>63</v>
      </c>
      <c r="FG4" s="1367" t="s">
        <v>64</v>
      </c>
      <c r="FH4" s="1368" t="s">
        <v>13</v>
      </c>
      <c r="FI4" s="1366" t="s">
        <v>14</v>
      </c>
      <c r="FJ4" s="1366" t="s">
        <v>15</v>
      </c>
      <c r="FK4" s="1366" t="s">
        <v>16</v>
      </c>
      <c r="FL4" s="1366" t="s">
        <v>17</v>
      </c>
      <c r="FM4" s="1368" t="s">
        <v>18</v>
      </c>
      <c r="FN4" s="1366" t="s">
        <v>19</v>
      </c>
      <c r="FO4" s="1366" t="s">
        <v>20</v>
      </c>
      <c r="FP4" s="1366" t="s">
        <v>21</v>
      </c>
      <c r="FQ4" s="1368" t="s">
        <v>22</v>
      </c>
      <c r="FR4" s="1366" t="s">
        <v>23</v>
      </c>
      <c r="FS4" s="1366" t="s">
        <v>24</v>
      </c>
      <c r="FT4" s="1366" t="s">
        <v>25</v>
      </c>
      <c r="FU4" s="1368" t="s">
        <v>26</v>
      </c>
      <c r="FV4" s="1366" t="s">
        <v>27</v>
      </c>
      <c r="FW4" s="1366" t="s">
        <v>28</v>
      </c>
      <c r="FX4" s="1366" t="s">
        <v>29</v>
      </c>
      <c r="FY4" s="1366" t="s">
        <v>30</v>
      </c>
      <c r="FZ4" s="1368" t="s">
        <v>31</v>
      </c>
      <c r="GA4" s="1366" t="s">
        <v>32</v>
      </c>
      <c r="GB4" s="1366" t="s">
        <v>33</v>
      </c>
      <c r="GC4" s="1366" t="s">
        <v>34</v>
      </c>
      <c r="GD4" s="1368" t="s">
        <v>35</v>
      </c>
      <c r="GE4" s="1366" t="s">
        <v>36</v>
      </c>
      <c r="GF4" s="1366" t="s">
        <v>37</v>
      </c>
      <c r="GG4" s="1366" t="s">
        <v>38</v>
      </c>
      <c r="GH4" s="1366" t="s">
        <v>39</v>
      </c>
      <c r="GI4" s="1368" t="s">
        <v>40</v>
      </c>
      <c r="GJ4" s="1366" t="s">
        <v>41</v>
      </c>
      <c r="GK4" s="1366" t="s">
        <v>42</v>
      </c>
      <c r="GL4" s="1366" t="s">
        <v>43</v>
      </c>
      <c r="GM4" s="1368" t="s">
        <v>44</v>
      </c>
      <c r="GN4" s="1366" t="s">
        <v>45</v>
      </c>
      <c r="GO4" s="1366" t="s">
        <v>46</v>
      </c>
      <c r="GP4" s="1366" t="s">
        <v>47</v>
      </c>
      <c r="GQ4" s="1368" t="s">
        <v>48</v>
      </c>
      <c r="GR4" s="1366" t="s">
        <v>49</v>
      </c>
      <c r="GS4" s="1366" t="s">
        <v>50</v>
      </c>
      <c r="GT4" s="1366" t="s">
        <v>51</v>
      </c>
      <c r="GU4" s="1368" t="s">
        <v>52</v>
      </c>
      <c r="GV4" s="1366" t="s">
        <v>53</v>
      </c>
      <c r="GW4" s="1366" t="s">
        <v>54</v>
      </c>
      <c r="GX4" s="1366" t="s">
        <v>55</v>
      </c>
      <c r="GY4" s="1366" t="s">
        <v>56</v>
      </c>
      <c r="GZ4" s="1368" t="s">
        <v>57</v>
      </c>
      <c r="HA4" s="1366" t="s">
        <v>58</v>
      </c>
      <c r="HB4" s="1366" t="s">
        <v>59</v>
      </c>
      <c r="HC4" s="1366" t="s">
        <v>60</v>
      </c>
      <c r="HD4" s="1368" t="s">
        <v>61</v>
      </c>
      <c r="HE4" s="1366" t="s">
        <v>62</v>
      </c>
      <c r="HF4" s="1366" t="s">
        <v>63</v>
      </c>
      <c r="HG4" s="1367" t="s">
        <v>64</v>
      </c>
      <c r="HH4" s="1368" t="s">
        <v>13</v>
      </c>
      <c r="HI4" s="1366" t="s">
        <v>14</v>
      </c>
      <c r="HJ4" s="1366" t="s">
        <v>15</v>
      </c>
      <c r="HK4" s="1366" t="s">
        <v>16</v>
      </c>
      <c r="HL4" s="1366" t="s">
        <v>17</v>
      </c>
      <c r="HM4" s="1368" t="s">
        <v>18</v>
      </c>
      <c r="HN4" s="1366" t="s">
        <v>19</v>
      </c>
      <c r="HO4" s="1366" t="s">
        <v>20</v>
      </c>
      <c r="HP4" s="1366" t="s">
        <v>21</v>
      </c>
      <c r="HQ4" s="1368" t="s">
        <v>22</v>
      </c>
      <c r="HR4" s="1366" t="s">
        <v>23</v>
      </c>
      <c r="HS4" s="1366" t="s">
        <v>24</v>
      </c>
      <c r="HT4" s="1366" t="s">
        <v>25</v>
      </c>
      <c r="HU4" s="1368" t="s">
        <v>26</v>
      </c>
      <c r="HV4" s="1366" t="s">
        <v>27</v>
      </c>
      <c r="HW4" s="1366" t="s">
        <v>28</v>
      </c>
      <c r="HX4" s="1366" t="s">
        <v>29</v>
      </c>
      <c r="HY4" s="1366" t="s">
        <v>30</v>
      </c>
      <c r="HZ4" s="1368" t="s">
        <v>31</v>
      </c>
      <c r="IA4" s="1366" t="s">
        <v>32</v>
      </c>
      <c r="IB4" s="1366" t="s">
        <v>33</v>
      </c>
      <c r="IC4" s="1366" t="s">
        <v>34</v>
      </c>
      <c r="ID4" s="1368" t="s">
        <v>35</v>
      </c>
      <c r="IE4" s="1366" t="s">
        <v>36</v>
      </c>
      <c r="IF4" s="1366" t="s">
        <v>37</v>
      </c>
      <c r="IG4" s="1366" t="s">
        <v>38</v>
      </c>
      <c r="IH4" s="1366" t="s">
        <v>39</v>
      </c>
      <c r="II4" s="1368" t="s">
        <v>40</v>
      </c>
      <c r="IJ4" s="1366" t="s">
        <v>41</v>
      </c>
      <c r="IK4" s="1366" t="s">
        <v>42</v>
      </c>
      <c r="IL4" s="1366" t="s">
        <v>43</v>
      </c>
      <c r="IM4" s="1368" t="s">
        <v>44</v>
      </c>
      <c r="IN4" s="1366" t="s">
        <v>45</v>
      </c>
      <c r="IO4" s="1366" t="s">
        <v>46</v>
      </c>
      <c r="IP4" s="1366" t="s">
        <v>47</v>
      </c>
      <c r="IQ4" s="1368" t="s">
        <v>48</v>
      </c>
      <c r="IR4" s="1366" t="s">
        <v>49</v>
      </c>
      <c r="IS4" s="1366" t="s">
        <v>50</v>
      </c>
      <c r="IT4" s="1366" t="s">
        <v>51</v>
      </c>
      <c r="IU4" s="1368" t="s">
        <v>52</v>
      </c>
      <c r="IV4" s="1366" t="s">
        <v>53</v>
      </c>
      <c r="IW4" s="1366" t="s">
        <v>54</v>
      </c>
      <c r="IX4" s="1366" t="s">
        <v>55</v>
      </c>
      <c r="IY4" s="1366" t="s">
        <v>56</v>
      </c>
      <c r="IZ4" s="1368" t="s">
        <v>57</v>
      </c>
      <c r="JA4" s="1366" t="s">
        <v>58</v>
      </c>
      <c r="JB4" s="1366" t="s">
        <v>59</v>
      </c>
      <c r="JC4" s="1366" t="s">
        <v>60</v>
      </c>
      <c r="JD4" s="1368" t="s">
        <v>61</v>
      </c>
      <c r="JE4" s="1366" t="s">
        <v>62</v>
      </c>
      <c r="JF4" s="1366" t="s">
        <v>63</v>
      </c>
      <c r="JG4" s="1367" t="s">
        <v>64</v>
      </c>
      <c r="JH4" s="1368" t="s">
        <v>13</v>
      </c>
      <c r="JI4" s="1366" t="s">
        <v>14</v>
      </c>
      <c r="JJ4" s="1366" t="s">
        <v>15</v>
      </c>
      <c r="JK4" s="1366" t="s">
        <v>16</v>
      </c>
      <c r="JL4" s="1366" t="s">
        <v>17</v>
      </c>
      <c r="JM4" s="1368" t="s">
        <v>18</v>
      </c>
      <c r="JN4" s="1366" t="s">
        <v>19</v>
      </c>
      <c r="JO4" s="1366" t="s">
        <v>20</v>
      </c>
      <c r="JP4" s="1366" t="s">
        <v>21</v>
      </c>
      <c r="JQ4" s="1368" t="s">
        <v>22</v>
      </c>
      <c r="JR4" s="1366" t="s">
        <v>23</v>
      </c>
      <c r="JS4" s="1366" t="s">
        <v>24</v>
      </c>
      <c r="JT4" s="1366" t="s">
        <v>25</v>
      </c>
      <c r="JU4" s="1368" t="s">
        <v>26</v>
      </c>
      <c r="JV4" s="1366" t="s">
        <v>27</v>
      </c>
      <c r="JW4" s="1366" t="s">
        <v>28</v>
      </c>
      <c r="JX4" s="1366" t="s">
        <v>29</v>
      </c>
      <c r="JY4" s="1366" t="s">
        <v>30</v>
      </c>
      <c r="JZ4" s="1368" t="s">
        <v>31</v>
      </c>
      <c r="KA4" s="1366" t="s">
        <v>32</v>
      </c>
      <c r="KB4" s="1366" t="s">
        <v>33</v>
      </c>
      <c r="KC4" s="1366" t="s">
        <v>34</v>
      </c>
      <c r="KD4" s="1368" t="s">
        <v>35</v>
      </c>
      <c r="KE4" s="1366" t="s">
        <v>36</v>
      </c>
      <c r="KF4" s="1366" t="s">
        <v>37</v>
      </c>
      <c r="KG4" s="1366" t="s">
        <v>38</v>
      </c>
      <c r="KH4" s="1366" t="s">
        <v>39</v>
      </c>
      <c r="KI4" s="1368" t="s">
        <v>40</v>
      </c>
      <c r="KJ4" s="1366" t="s">
        <v>41</v>
      </c>
      <c r="KK4" s="1366" t="s">
        <v>42</v>
      </c>
      <c r="KL4" s="1366" t="s">
        <v>43</v>
      </c>
      <c r="KM4" s="1368" t="s">
        <v>44</v>
      </c>
      <c r="KN4" s="1366" t="s">
        <v>45</v>
      </c>
      <c r="KO4" s="1366" t="s">
        <v>46</v>
      </c>
      <c r="KP4" s="1366" t="s">
        <v>47</v>
      </c>
      <c r="KQ4" s="1368" t="s">
        <v>48</v>
      </c>
      <c r="KR4" s="1366" t="s">
        <v>49</v>
      </c>
      <c r="KS4" s="1366" t="s">
        <v>50</v>
      </c>
      <c r="KT4" s="1366" t="s">
        <v>51</v>
      </c>
      <c r="KU4" s="1368" t="s">
        <v>52</v>
      </c>
      <c r="KV4" s="1366" t="s">
        <v>53</v>
      </c>
      <c r="KW4" s="1366" t="s">
        <v>54</v>
      </c>
      <c r="KX4" s="1366" t="s">
        <v>55</v>
      </c>
      <c r="KY4" s="1366" t="s">
        <v>56</v>
      </c>
      <c r="KZ4" s="1368" t="s">
        <v>57</v>
      </c>
      <c r="LA4" s="1366" t="s">
        <v>58</v>
      </c>
      <c r="LB4" s="1366" t="s">
        <v>59</v>
      </c>
      <c r="LC4" s="1366" t="s">
        <v>60</v>
      </c>
      <c r="LD4" s="1368" t="s">
        <v>61</v>
      </c>
      <c r="LE4" s="1366" t="s">
        <v>62</v>
      </c>
      <c r="LF4" s="1366" t="s">
        <v>63</v>
      </c>
      <c r="LG4" s="1367" t="s">
        <v>64</v>
      </c>
      <c r="LH4" s="1368" t="s">
        <v>13</v>
      </c>
      <c r="LI4" s="1366" t="s">
        <v>14</v>
      </c>
      <c r="LJ4" s="1366" t="s">
        <v>15</v>
      </c>
      <c r="LK4" s="1366" t="s">
        <v>16</v>
      </c>
      <c r="LL4" s="1366" t="s">
        <v>17</v>
      </c>
      <c r="LM4" s="1368" t="s">
        <v>18</v>
      </c>
      <c r="LN4" s="1366" t="s">
        <v>19</v>
      </c>
      <c r="LO4" s="1366" t="s">
        <v>20</v>
      </c>
      <c r="LP4" s="1366" t="s">
        <v>21</v>
      </c>
      <c r="LQ4" s="1368" t="s">
        <v>22</v>
      </c>
      <c r="LR4" s="1366" t="s">
        <v>23</v>
      </c>
      <c r="LS4" s="1366" t="s">
        <v>24</v>
      </c>
      <c r="LT4" s="1366" t="s">
        <v>25</v>
      </c>
      <c r="LU4" s="1368" t="s">
        <v>26</v>
      </c>
      <c r="LV4" s="1366" t="s">
        <v>27</v>
      </c>
      <c r="LW4" s="1366" t="s">
        <v>28</v>
      </c>
      <c r="LX4" s="1366" t="s">
        <v>29</v>
      </c>
      <c r="LY4" s="1366" t="s">
        <v>30</v>
      </c>
      <c r="LZ4" s="1368" t="s">
        <v>31</v>
      </c>
      <c r="MA4" s="1366" t="s">
        <v>32</v>
      </c>
      <c r="MB4" s="1366" t="s">
        <v>33</v>
      </c>
      <c r="MC4" s="1366" t="s">
        <v>34</v>
      </c>
      <c r="MD4" s="1368" t="s">
        <v>35</v>
      </c>
      <c r="ME4" s="1366" t="s">
        <v>36</v>
      </c>
      <c r="MF4" s="1366" t="s">
        <v>37</v>
      </c>
      <c r="MG4" s="1366" t="s">
        <v>38</v>
      </c>
      <c r="MH4" s="1366" t="s">
        <v>39</v>
      </c>
      <c r="MI4" s="1368" t="s">
        <v>40</v>
      </c>
      <c r="MJ4" s="1366" t="s">
        <v>41</v>
      </c>
      <c r="MK4" s="1366" t="s">
        <v>42</v>
      </c>
      <c r="ML4" s="1366" t="s">
        <v>43</v>
      </c>
      <c r="MM4" s="1368" t="s">
        <v>44</v>
      </c>
      <c r="MN4" s="1366" t="s">
        <v>45</v>
      </c>
      <c r="MO4" s="1366" t="s">
        <v>46</v>
      </c>
      <c r="MP4" s="1366" t="s">
        <v>47</v>
      </c>
      <c r="MQ4" s="1368" t="s">
        <v>48</v>
      </c>
      <c r="MR4" s="1366" t="s">
        <v>49</v>
      </c>
      <c r="MS4" s="1366" t="s">
        <v>50</v>
      </c>
      <c r="MT4" s="1366" t="s">
        <v>51</v>
      </c>
      <c r="MU4" s="1368" t="s">
        <v>52</v>
      </c>
      <c r="MV4" s="1366" t="s">
        <v>53</v>
      </c>
      <c r="MW4" s="1366" t="s">
        <v>54</v>
      </c>
      <c r="MX4" s="1366" t="s">
        <v>55</v>
      </c>
      <c r="MY4" s="1366" t="s">
        <v>56</v>
      </c>
      <c r="MZ4" s="1368" t="s">
        <v>57</v>
      </c>
      <c r="NA4" s="1366" t="s">
        <v>58</v>
      </c>
      <c r="NB4" s="1366" t="s">
        <v>59</v>
      </c>
      <c r="NC4" s="1366" t="s">
        <v>60</v>
      </c>
      <c r="ND4" s="1368" t="s">
        <v>61</v>
      </c>
      <c r="NE4" s="1366" t="s">
        <v>62</v>
      </c>
      <c r="NF4" s="1366" t="s">
        <v>63</v>
      </c>
      <c r="NG4" s="1367" t="s">
        <v>64</v>
      </c>
      <c r="NH4" s="1368" t="s">
        <v>13</v>
      </c>
      <c r="NI4" s="1366" t="s">
        <v>14</v>
      </c>
      <c r="NJ4" s="1366" t="s">
        <v>15</v>
      </c>
      <c r="NK4" s="1366" t="s">
        <v>16</v>
      </c>
      <c r="NL4" s="1366" t="s">
        <v>17</v>
      </c>
      <c r="NM4" s="1368" t="s">
        <v>18</v>
      </c>
      <c r="NN4" s="1366" t="s">
        <v>19</v>
      </c>
      <c r="NO4" s="1366" t="s">
        <v>20</v>
      </c>
      <c r="NP4" s="1366" t="s">
        <v>21</v>
      </c>
      <c r="NQ4" s="1368" t="s">
        <v>22</v>
      </c>
      <c r="NR4" s="1366" t="s">
        <v>23</v>
      </c>
      <c r="NS4" s="1366" t="s">
        <v>24</v>
      </c>
      <c r="NT4" s="1366" t="s">
        <v>25</v>
      </c>
      <c r="NU4" s="1368" t="s">
        <v>26</v>
      </c>
      <c r="NV4" s="1366" t="s">
        <v>27</v>
      </c>
      <c r="NW4" s="1366" t="s">
        <v>28</v>
      </c>
      <c r="NX4" s="1366" t="s">
        <v>29</v>
      </c>
      <c r="NY4" s="1366" t="s">
        <v>30</v>
      </c>
      <c r="NZ4" s="1368" t="s">
        <v>31</v>
      </c>
      <c r="OA4" s="1366" t="s">
        <v>32</v>
      </c>
      <c r="OB4" s="1366" t="s">
        <v>33</v>
      </c>
      <c r="OC4" s="1366" t="s">
        <v>34</v>
      </c>
      <c r="OD4" s="1368" t="s">
        <v>35</v>
      </c>
      <c r="OE4" s="1366" t="s">
        <v>36</v>
      </c>
      <c r="OF4" s="1366" t="s">
        <v>37</v>
      </c>
      <c r="OG4" s="1366" t="s">
        <v>38</v>
      </c>
      <c r="OH4" s="1366" t="s">
        <v>39</v>
      </c>
      <c r="OI4" s="1368" t="s">
        <v>40</v>
      </c>
      <c r="OJ4" s="1366" t="s">
        <v>41</v>
      </c>
      <c r="OK4" s="1366" t="s">
        <v>42</v>
      </c>
      <c r="OL4" s="1366" t="s">
        <v>43</v>
      </c>
      <c r="OM4" s="1368" t="s">
        <v>44</v>
      </c>
      <c r="ON4" s="1366" t="s">
        <v>45</v>
      </c>
      <c r="OO4" s="1366" t="s">
        <v>46</v>
      </c>
      <c r="OP4" s="1366" t="s">
        <v>47</v>
      </c>
      <c r="OQ4" s="1368" t="s">
        <v>48</v>
      </c>
      <c r="OR4" s="1366" t="s">
        <v>49</v>
      </c>
      <c r="OS4" s="1366" t="s">
        <v>50</v>
      </c>
      <c r="OT4" s="1366" t="s">
        <v>51</v>
      </c>
      <c r="OU4" s="1368" t="s">
        <v>52</v>
      </c>
      <c r="OV4" s="1366" t="s">
        <v>53</v>
      </c>
      <c r="OW4" s="1366" t="s">
        <v>54</v>
      </c>
      <c r="OX4" s="1366" t="s">
        <v>55</v>
      </c>
      <c r="OY4" s="1366" t="s">
        <v>56</v>
      </c>
      <c r="OZ4" s="1368" t="s">
        <v>57</v>
      </c>
      <c r="PA4" s="1366" t="s">
        <v>58</v>
      </c>
      <c r="PB4" s="1366" t="s">
        <v>59</v>
      </c>
      <c r="PC4" s="1366" t="s">
        <v>60</v>
      </c>
      <c r="PD4" s="1368" t="s">
        <v>61</v>
      </c>
      <c r="PE4" s="1366" t="s">
        <v>62</v>
      </c>
      <c r="PF4" s="1366" t="s">
        <v>63</v>
      </c>
      <c r="PG4" s="1367" t="s">
        <v>64</v>
      </c>
      <c r="PH4" s="1368" t="s">
        <v>13</v>
      </c>
      <c r="PI4" s="1366" t="s">
        <v>14</v>
      </c>
      <c r="PJ4" s="1366" t="s">
        <v>15</v>
      </c>
      <c r="PK4" s="1366" t="s">
        <v>16</v>
      </c>
      <c r="PL4" s="1366" t="s">
        <v>17</v>
      </c>
      <c r="PM4" s="1368" t="s">
        <v>18</v>
      </c>
      <c r="PN4" s="1366" t="s">
        <v>19</v>
      </c>
      <c r="PO4" s="1366" t="s">
        <v>20</v>
      </c>
      <c r="PP4" s="1366" t="s">
        <v>21</v>
      </c>
      <c r="PQ4" s="1368" t="s">
        <v>22</v>
      </c>
      <c r="PR4" s="1366" t="s">
        <v>23</v>
      </c>
      <c r="PS4" s="1366" t="s">
        <v>24</v>
      </c>
      <c r="PT4" s="1366" t="s">
        <v>25</v>
      </c>
      <c r="PU4" s="1368" t="s">
        <v>26</v>
      </c>
      <c r="PV4" s="1366" t="s">
        <v>27</v>
      </c>
      <c r="PW4" s="1366" t="s">
        <v>28</v>
      </c>
      <c r="PX4" s="1366" t="s">
        <v>29</v>
      </c>
      <c r="PY4" s="1366" t="s">
        <v>30</v>
      </c>
      <c r="PZ4" s="1368" t="s">
        <v>31</v>
      </c>
      <c r="QA4" s="1366" t="s">
        <v>32</v>
      </c>
      <c r="QB4" s="1366" t="s">
        <v>33</v>
      </c>
      <c r="QC4" s="1366" t="s">
        <v>34</v>
      </c>
      <c r="QD4" s="1368" t="s">
        <v>35</v>
      </c>
      <c r="QE4" s="1366" t="s">
        <v>36</v>
      </c>
      <c r="QF4" s="1366" t="s">
        <v>37</v>
      </c>
      <c r="QG4" s="1366" t="s">
        <v>38</v>
      </c>
      <c r="QH4" s="1366" t="s">
        <v>39</v>
      </c>
      <c r="QI4" s="1368" t="s">
        <v>40</v>
      </c>
      <c r="QJ4" s="1366" t="s">
        <v>41</v>
      </c>
      <c r="QK4" s="1366" t="s">
        <v>42</v>
      </c>
      <c r="QL4" s="1366" t="s">
        <v>43</v>
      </c>
      <c r="QM4" s="1368" t="s">
        <v>44</v>
      </c>
      <c r="QN4" s="1366" t="s">
        <v>45</v>
      </c>
      <c r="QO4" s="1366" t="s">
        <v>46</v>
      </c>
      <c r="QP4" s="1366" t="s">
        <v>47</v>
      </c>
      <c r="QQ4" s="1368" t="s">
        <v>48</v>
      </c>
      <c r="QR4" s="1366" t="s">
        <v>49</v>
      </c>
      <c r="QS4" s="1366" t="s">
        <v>50</v>
      </c>
      <c r="QT4" s="1366" t="s">
        <v>51</v>
      </c>
      <c r="QU4" s="1368" t="s">
        <v>52</v>
      </c>
      <c r="QV4" s="1366" t="s">
        <v>53</v>
      </c>
      <c r="QW4" s="1366" t="s">
        <v>54</v>
      </c>
      <c r="QX4" s="1366" t="s">
        <v>55</v>
      </c>
      <c r="QY4" s="1366" t="s">
        <v>56</v>
      </c>
      <c r="QZ4" s="1368" t="s">
        <v>57</v>
      </c>
      <c r="RA4" s="1366" t="s">
        <v>58</v>
      </c>
      <c r="RB4" s="1366" t="s">
        <v>59</v>
      </c>
      <c r="RC4" s="1366" t="s">
        <v>60</v>
      </c>
      <c r="RD4" s="1368" t="s">
        <v>61</v>
      </c>
      <c r="RE4" s="1366" t="s">
        <v>62</v>
      </c>
      <c r="RF4" s="1366" t="s">
        <v>63</v>
      </c>
      <c r="RG4" s="1367" t="s">
        <v>64</v>
      </c>
    </row>
    <row r="5" spans="1:475" s="1431" customFormat="1" ht="19.899999999999999" customHeight="1" x14ac:dyDescent="0.25">
      <c r="B5" s="1575" t="s">
        <v>278</v>
      </c>
      <c r="C5" s="1457">
        <v>1</v>
      </c>
      <c r="D5" s="1430"/>
      <c r="G5" s="1432"/>
      <c r="L5" s="1433"/>
      <c r="P5" s="1433"/>
      <c r="T5" s="1433"/>
      <c r="W5" s="1434" t="s">
        <v>279</v>
      </c>
      <c r="X5" s="1434"/>
      <c r="Y5" s="1434"/>
      <c r="Z5" s="1434"/>
      <c r="AA5" s="1434"/>
      <c r="AB5" s="1434"/>
      <c r="AC5" s="1434"/>
      <c r="AD5" s="1434"/>
      <c r="AE5" s="1434"/>
      <c r="AF5" s="1434"/>
      <c r="AG5" s="1434"/>
      <c r="AH5" s="1434"/>
      <c r="AI5" s="1434"/>
      <c r="AJ5" s="1434"/>
      <c r="AK5" s="1434"/>
      <c r="AL5" s="1434"/>
      <c r="AM5" s="1434"/>
      <c r="AN5" s="1434"/>
      <c r="AO5" s="1434"/>
      <c r="AP5" s="1434"/>
      <c r="AQ5" s="1434"/>
      <c r="AR5" s="1434"/>
      <c r="AS5" s="1434"/>
      <c r="AT5" s="1434"/>
      <c r="AU5" s="1434"/>
      <c r="AY5" s="1433"/>
      <c r="BC5" s="1433"/>
      <c r="BG5" s="1432"/>
      <c r="BL5" s="1433"/>
      <c r="BP5" s="1458" t="s">
        <v>282</v>
      </c>
      <c r="BQ5" s="1459"/>
      <c r="BR5" s="1459"/>
      <c r="BS5" s="1459"/>
      <c r="BT5" s="1459"/>
      <c r="BU5" s="1459"/>
      <c r="BV5" s="1459"/>
      <c r="BW5" s="1459"/>
      <c r="BX5" s="1459"/>
      <c r="BY5" s="1459"/>
      <c r="BZ5" s="1459"/>
      <c r="CA5" s="1459"/>
      <c r="CB5" s="1460"/>
      <c r="CC5" s="1433"/>
      <c r="CH5" s="1433"/>
      <c r="CL5" s="1433"/>
      <c r="CP5" s="1433"/>
      <c r="CT5" s="1433"/>
      <c r="CX5" s="1438" t="s">
        <v>462</v>
      </c>
      <c r="CY5" s="1438"/>
      <c r="CZ5" s="1438"/>
      <c r="DA5" s="1438"/>
      <c r="DB5" s="1438"/>
      <c r="DC5" s="1438"/>
      <c r="DD5" s="1438"/>
      <c r="DE5" s="1438"/>
      <c r="DF5" s="1438"/>
      <c r="DG5" s="1438"/>
      <c r="DH5" s="1438"/>
      <c r="DI5" s="1438"/>
      <c r="DJ5" s="1438"/>
      <c r="DK5" s="1438"/>
      <c r="DL5" s="1438"/>
      <c r="DM5" s="1438"/>
      <c r="DN5" s="1438"/>
      <c r="DO5" s="1438"/>
      <c r="DP5" s="1438"/>
      <c r="DQ5" s="1438"/>
      <c r="DR5" s="1438"/>
      <c r="DS5" s="1438"/>
      <c r="DT5" s="1438"/>
      <c r="DU5" s="1438"/>
      <c r="DV5" s="1438"/>
      <c r="DW5" s="1438"/>
      <c r="DX5" s="1438"/>
      <c r="DY5" s="1438"/>
      <c r="DZ5" s="1438"/>
      <c r="EA5" s="1438"/>
      <c r="EB5" s="1438"/>
      <c r="EC5" s="1439"/>
      <c r="EH5" s="1433"/>
      <c r="EI5" s="1461" t="s">
        <v>305</v>
      </c>
      <c r="EJ5" s="1462"/>
      <c r="EK5" s="1462"/>
      <c r="EL5" s="1462"/>
      <c r="EM5" s="1462"/>
      <c r="EN5" s="1462"/>
      <c r="EO5" s="1462"/>
      <c r="EP5" s="1462"/>
      <c r="EQ5" s="1462"/>
      <c r="ER5" s="1462"/>
      <c r="ES5" s="1462"/>
      <c r="ET5" s="1462"/>
      <c r="EU5" s="1462"/>
      <c r="EV5" s="1462"/>
      <c r="EW5" s="1462"/>
      <c r="EX5" s="1463"/>
      <c r="EY5" s="1433"/>
      <c r="FC5" s="1433"/>
      <c r="FG5" s="1432"/>
      <c r="FL5" s="1433"/>
      <c r="FP5" s="1433"/>
      <c r="FT5" s="1433"/>
      <c r="FU5" s="1464" t="s">
        <v>300</v>
      </c>
      <c r="FV5" s="1465"/>
      <c r="FW5" s="1465"/>
      <c r="FX5" s="1465"/>
      <c r="FY5" s="1465"/>
      <c r="FZ5" s="1465"/>
      <c r="GA5" s="1465"/>
      <c r="GB5" s="1465"/>
      <c r="GC5" s="1465"/>
      <c r="GD5" s="1465"/>
      <c r="GE5" s="1465"/>
      <c r="GF5" s="1465"/>
      <c r="GG5" s="1465"/>
      <c r="GH5" s="1465"/>
      <c r="GI5" s="1465"/>
      <c r="GJ5" s="1465"/>
      <c r="GK5" s="1465"/>
      <c r="GL5" s="1465"/>
      <c r="GM5" s="1465"/>
      <c r="GN5" s="1465"/>
      <c r="GO5" s="1465"/>
      <c r="GP5" s="1465"/>
      <c r="GQ5" s="1465"/>
      <c r="GR5" s="1465"/>
      <c r="GS5" s="1465"/>
      <c r="GT5" s="1465"/>
      <c r="GU5" s="1465"/>
      <c r="GV5" s="1465"/>
      <c r="GW5" s="1465"/>
      <c r="GX5" s="1465"/>
      <c r="GY5" s="1465"/>
      <c r="GZ5" s="1465"/>
      <c r="HA5" s="1465"/>
      <c r="HB5" s="1465"/>
      <c r="HC5" s="1465"/>
      <c r="HD5" s="1465"/>
      <c r="HE5" s="1465"/>
      <c r="HF5" s="1465"/>
      <c r="HG5" s="1465"/>
      <c r="HH5" s="1465"/>
      <c r="HI5" s="1465"/>
      <c r="HJ5" s="1465"/>
      <c r="HK5" s="1465"/>
      <c r="HL5" s="1465"/>
      <c r="HM5" s="1465"/>
      <c r="HN5" s="1465"/>
      <c r="HO5" s="1465"/>
      <c r="HP5" s="1465"/>
      <c r="HQ5" s="1465"/>
      <c r="HR5" s="1466"/>
      <c r="HT5" s="1433"/>
      <c r="HW5" s="1435" t="s">
        <v>318</v>
      </c>
      <c r="HX5" s="1436"/>
      <c r="HY5" s="1436"/>
      <c r="HZ5" s="1436"/>
      <c r="IA5" s="1436"/>
      <c r="IB5" s="1436"/>
      <c r="IC5" s="1436"/>
      <c r="ID5" s="1436"/>
      <c r="IE5" s="1436"/>
      <c r="IF5" s="1436"/>
      <c r="IG5" s="1436"/>
      <c r="IH5" s="1436"/>
      <c r="II5" s="1436"/>
      <c r="IJ5" s="1436"/>
      <c r="IK5" s="1436"/>
      <c r="IL5" s="1436"/>
      <c r="IM5" s="1436"/>
      <c r="IN5" s="1436"/>
      <c r="IO5" s="1436"/>
      <c r="IP5" s="1436"/>
      <c r="IQ5" s="1436"/>
      <c r="IR5" s="1436"/>
      <c r="IS5" s="1436"/>
      <c r="IT5" s="1436"/>
      <c r="IU5" s="1437"/>
      <c r="IX5" s="1438" t="s">
        <v>462</v>
      </c>
      <c r="IY5" s="1438"/>
      <c r="IZ5" s="1438"/>
      <c r="JA5" s="1438"/>
      <c r="JB5" s="1438"/>
      <c r="JC5" s="1438"/>
      <c r="JD5" s="1438"/>
      <c r="JE5" s="1438"/>
      <c r="JF5" s="1438"/>
      <c r="JG5" s="1438"/>
      <c r="JH5" s="1438"/>
      <c r="JI5" s="1438"/>
      <c r="JJ5" s="1438"/>
      <c r="JK5" s="1438"/>
      <c r="JL5" s="1438"/>
      <c r="JM5" s="1438"/>
      <c r="JN5" s="1438"/>
      <c r="JO5" s="1438"/>
      <c r="JP5" s="1438"/>
      <c r="JQ5" s="1438"/>
      <c r="JR5" s="1438"/>
      <c r="JS5" s="1438"/>
      <c r="JT5" s="1438"/>
      <c r="JU5" s="1438"/>
      <c r="JV5" s="1438"/>
      <c r="JW5" s="1438"/>
      <c r="JX5" s="1438"/>
      <c r="JY5" s="1438"/>
      <c r="JZ5" s="1438"/>
      <c r="KA5" s="1438"/>
      <c r="KC5" s="1433"/>
      <c r="KH5" s="1433"/>
      <c r="KL5" s="1433"/>
      <c r="KP5" s="1433"/>
      <c r="KT5" s="1459" t="s">
        <v>289</v>
      </c>
      <c r="KU5" s="1459"/>
      <c r="KV5" s="1459"/>
      <c r="KW5" s="1459"/>
      <c r="KX5" s="1459"/>
      <c r="KY5" s="1459"/>
      <c r="KZ5" s="1459"/>
      <c r="LA5" s="1459"/>
      <c r="LB5" s="1459"/>
      <c r="LC5" s="1459"/>
      <c r="LD5" s="1459"/>
      <c r="LE5" s="1459"/>
      <c r="LF5" s="1459"/>
      <c r="LG5" s="1459"/>
      <c r="LH5" s="1459"/>
      <c r="LI5" s="1459"/>
      <c r="LJ5" s="1459"/>
      <c r="LK5" s="1459"/>
      <c r="LL5" s="1460"/>
      <c r="LP5" s="1433"/>
      <c r="LT5" s="1433"/>
      <c r="LY5" s="1433"/>
      <c r="MC5" s="1433"/>
      <c r="MH5" s="1467" t="s">
        <v>314</v>
      </c>
      <c r="MI5" s="1468"/>
      <c r="MJ5" s="1468"/>
      <c r="MK5" s="1468"/>
      <c r="ML5" s="1468"/>
      <c r="MM5" s="1468"/>
      <c r="MN5" s="1468"/>
      <c r="MO5" s="1468"/>
      <c r="MP5" s="1468"/>
      <c r="MQ5" s="1468"/>
      <c r="MR5" s="1468"/>
      <c r="MS5" s="1468"/>
      <c r="MT5" s="1468"/>
      <c r="MU5" s="1468"/>
      <c r="MV5" s="1469"/>
      <c r="MY5" s="1433"/>
      <c r="MZ5" s="1470"/>
      <c r="NA5" s="1470"/>
      <c r="NB5" s="1438" t="s">
        <v>462</v>
      </c>
      <c r="NC5" s="1438"/>
      <c r="ND5" s="1438"/>
      <c r="NE5" s="1438"/>
      <c r="NF5" s="1438"/>
      <c r="NG5" s="1438"/>
      <c r="NH5" s="1438"/>
      <c r="NI5" s="1438"/>
      <c r="NJ5" s="1438"/>
      <c r="NK5" s="1438"/>
      <c r="NL5" s="1438"/>
      <c r="NM5" s="1438"/>
      <c r="NN5" s="1438"/>
      <c r="NO5" s="1438"/>
      <c r="NP5" s="1438"/>
      <c r="NQ5" s="1438"/>
      <c r="NR5" s="1438"/>
      <c r="NS5" s="1438"/>
      <c r="NT5" s="1438"/>
      <c r="NU5" s="1438"/>
      <c r="NV5" s="1438"/>
      <c r="NW5" s="1438"/>
      <c r="NX5" s="1438"/>
      <c r="NY5" s="1438"/>
      <c r="NZ5" s="1438"/>
      <c r="OA5" s="1438"/>
      <c r="OB5" s="1438"/>
      <c r="OC5" s="1438"/>
      <c r="OD5" s="1438"/>
      <c r="OE5" s="1438"/>
      <c r="OF5" s="1438"/>
      <c r="OG5" s="1438"/>
      <c r="OH5" s="1439"/>
      <c r="OI5" s="1440"/>
      <c r="OJ5" s="1470"/>
      <c r="OK5" s="1470"/>
      <c r="OL5" s="1470"/>
      <c r="OM5" s="1471" t="s">
        <v>326</v>
      </c>
      <c r="ON5" s="1472"/>
      <c r="OO5" s="1472"/>
      <c r="OP5" s="1472"/>
      <c r="OQ5" s="1472"/>
      <c r="OR5" s="1472"/>
      <c r="OS5" s="1472"/>
      <c r="OT5" s="1472"/>
      <c r="OU5" s="1472"/>
      <c r="OV5" s="1472"/>
      <c r="OW5" s="1472"/>
      <c r="OX5" s="1472"/>
      <c r="OY5" s="1472"/>
      <c r="OZ5" s="1472"/>
      <c r="PA5" s="1472"/>
      <c r="PB5" s="1472"/>
      <c r="PC5" s="1472"/>
      <c r="PD5" s="1472"/>
      <c r="PE5" s="1472"/>
      <c r="PF5" s="1472"/>
      <c r="PG5" s="1472"/>
      <c r="PH5" s="1472"/>
      <c r="PI5" s="1472"/>
      <c r="PJ5" s="1472"/>
      <c r="PK5" s="1472"/>
      <c r="PL5" s="1472"/>
      <c r="PM5" s="1472"/>
      <c r="PN5" s="1472"/>
      <c r="PO5" s="1472"/>
      <c r="PP5" s="1472"/>
      <c r="PQ5" s="1473"/>
      <c r="PR5" s="1470"/>
      <c r="PS5" s="1474"/>
      <c r="PT5" s="1433"/>
      <c r="PW5" s="1434" t="s">
        <v>279</v>
      </c>
      <c r="PX5" s="1434"/>
      <c r="PY5" s="1434"/>
      <c r="PZ5" s="1434"/>
      <c r="QA5" s="1434"/>
      <c r="QB5" s="1434"/>
      <c r="QC5" s="1434"/>
      <c r="QD5" s="1434"/>
      <c r="QE5" s="1434"/>
      <c r="QF5" s="1434"/>
      <c r="QG5" s="1434"/>
      <c r="QH5" s="1434"/>
      <c r="QI5" s="1434"/>
      <c r="QJ5" s="1434"/>
      <c r="QK5" s="1434"/>
      <c r="QL5" s="1434"/>
      <c r="QM5" s="1434"/>
      <c r="QN5" s="1434"/>
      <c r="QO5" s="1434"/>
      <c r="QP5" s="1434"/>
      <c r="QQ5" s="1434"/>
      <c r="QR5" s="1434"/>
      <c r="QS5" s="1434"/>
      <c r="QT5" s="1434"/>
      <c r="QU5" s="1434"/>
      <c r="QY5" s="1433"/>
      <c r="RC5" s="1433"/>
      <c r="RG5" s="1432"/>
    </row>
    <row r="6" spans="1:475" s="1431" customFormat="1" ht="19.899999999999999" customHeight="1" x14ac:dyDescent="0.25">
      <c r="B6" s="1575"/>
      <c r="C6" s="1457">
        <f>1+C5</f>
        <v>2</v>
      </c>
      <c r="D6" s="1430"/>
      <c r="G6" s="1432"/>
      <c r="L6" s="1433"/>
      <c r="P6" s="1433"/>
      <c r="T6" s="1433"/>
      <c r="W6" s="1434"/>
      <c r="X6" s="1434"/>
      <c r="Y6" s="1434"/>
      <c r="Z6" s="1434"/>
      <c r="AA6" s="1434"/>
      <c r="AB6" s="1434"/>
      <c r="AC6" s="1434"/>
      <c r="AD6" s="1434"/>
      <c r="AE6" s="1434"/>
      <c r="AF6" s="1434"/>
      <c r="AG6" s="1434"/>
      <c r="AH6" s="1434"/>
      <c r="AI6" s="1434"/>
      <c r="AJ6" s="1434"/>
      <c r="AK6" s="1434"/>
      <c r="AL6" s="1434"/>
      <c r="AM6" s="1434"/>
      <c r="AN6" s="1434"/>
      <c r="AO6" s="1434"/>
      <c r="AP6" s="1434"/>
      <c r="AQ6" s="1434"/>
      <c r="AR6" s="1434"/>
      <c r="AS6" s="1434"/>
      <c r="AT6" s="1434"/>
      <c r="AU6" s="1434"/>
      <c r="AY6" s="1433"/>
      <c r="BC6" s="1433"/>
      <c r="BG6" s="1432"/>
      <c r="BL6" s="1433"/>
      <c r="BP6" s="1475"/>
      <c r="BQ6" s="1476"/>
      <c r="BR6" s="1476"/>
      <c r="BS6" s="1476"/>
      <c r="BT6" s="1476"/>
      <c r="BU6" s="1476"/>
      <c r="BV6" s="1476"/>
      <c r="BW6" s="1476"/>
      <c r="BX6" s="1476"/>
      <c r="BY6" s="1476"/>
      <c r="BZ6" s="1476"/>
      <c r="CA6" s="1476"/>
      <c r="CB6" s="1477"/>
      <c r="CC6" s="1433"/>
      <c r="CH6" s="1433"/>
      <c r="CL6" s="1433"/>
      <c r="CP6" s="1433"/>
      <c r="CT6" s="1433"/>
      <c r="CX6" s="1438"/>
      <c r="CY6" s="1438"/>
      <c r="CZ6" s="1438"/>
      <c r="DA6" s="1438"/>
      <c r="DB6" s="1438"/>
      <c r="DC6" s="1438"/>
      <c r="DD6" s="1438"/>
      <c r="DE6" s="1438"/>
      <c r="DF6" s="1438"/>
      <c r="DG6" s="1438"/>
      <c r="DH6" s="1438"/>
      <c r="DI6" s="1438"/>
      <c r="DJ6" s="1438"/>
      <c r="DK6" s="1438"/>
      <c r="DL6" s="1438"/>
      <c r="DM6" s="1438"/>
      <c r="DN6" s="1438"/>
      <c r="DO6" s="1438"/>
      <c r="DP6" s="1438"/>
      <c r="DQ6" s="1438"/>
      <c r="DR6" s="1438"/>
      <c r="DS6" s="1438"/>
      <c r="DT6" s="1438"/>
      <c r="DU6" s="1438"/>
      <c r="DV6" s="1438"/>
      <c r="DW6" s="1438"/>
      <c r="DX6" s="1438"/>
      <c r="DY6" s="1438"/>
      <c r="DZ6" s="1438"/>
      <c r="EA6" s="1438"/>
      <c r="EB6" s="1438"/>
      <c r="EC6" s="1439"/>
      <c r="EH6" s="1433"/>
      <c r="EI6" s="1478"/>
      <c r="EJ6" s="1479"/>
      <c r="EK6" s="1479"/>
      <c r="EL6" s="1479"/>
      <c r="EM6" s="1479"/>
      <c r="EN6" s="1479"/>
      <c r="EO6" s="1479"/>
      <c r="EP6" s="1479"/>
      <c r="EQ6" s="1479"/>
      <c r="ER6" s="1479"/>
      <c r="ES6" s="1479"/>
      <c r="ET6" s="1479"/>
      <c r="EU6" s="1479"/>
      <c r="EV6" s="1479"/>
      <c r="EW6" s="1479"/>
      <c r="EX6" s="1480"/>
      <c r="EY6" s="1433"/>
      <c r="FC6" s="1433"/>
      <c r="FG6" s="1432"/>
      <c r="FL6" s="1433"/>
      <c r="FP6" s="1433"/>
      <c r="FT6" s="1433"/>
      <c r="FU6" s="1481"/>
      <c r="FV6" s="1482"/>
      <c r="FW6" s="1482"/>
      <c r="FX6" s="1482"/>
      <c r="FY6" s="1482"/>
      <c r="FZ6" s="1482"/>
      <c r="GA6" s="1482"/>
      <c r="GB6" s="1482"/>
      <c r="GC6" s="1482"/>
      <c r="GD6" s="1482"/>
      <c r="GE6" s="1482"/>
      <c r="GF6" s="1482"/>
      <c r="GG6" s="1482"/>
      <c r="GH6" s="1482"/>
      <c r="GI6" s="1482"/>
      <c r="GJ6" s="1482"/>
      <c r="GK6" s="1482"/>
      <c r="GL6" s="1482"/>
      <c r="GM6" s="1482"/>
      <c r="GN6" s="1482"/>
      <c r="GO6" s="1482"/>
      <c r="GP6" s="1482"/>
      <c r="GQ6" s="1482"/>
      <c r="GR6" s="1482"/>
      <c r="GS6" s="1482"/>
      <c r="GT6" s="1482"/>
      <c r="GU6" s="1482"/>
      <c r="GV6" s="1482"/>
      <c r="GW6" s="1482"/>
      <c r="GX6" s="1482"/>
      <c r="GY6" s="1482"/>
      <c r="GZ6" s="1482"/>
      <c r="HA6" s="1482"/>
      <c r="HB6" s="1482"/>
      <c r="HC6" s="1482"/>
      <c r="HD6" s="1482"/>
      <c r="HE6" s="1482"/>
      <c r="HF6" s="1482"/>
      <c r="HG6" s="1482"/>
      <c r="HH6" s="1482"/>
      <c r="HI6" s="1482"/>
      <c r="HJ6" s="1482"/>
      <c r="HK6" s="1482"/>
      <c r="HL6" s="1482"/>
      <c r="HM6" s="1482"/>
      <c r="HN6" s="1482"/>
      <c r="HO6" s="1482"/>
      <c r="HP6" s="1482"/>
      <c r="HQ6" s="1482"/>
      <c r="HR6" s="1483"/>
      <c r="HT6" s="1433"/>
      <c r="HW6" s="1441"/>
      <c r="HX6" s="1442"/>
      <c r="HY6" s="1442"/>
      <c r="HZ6" s="1442"/>
      <c r="IA6" s="1442"/>
      <c r="IB6" s="1442"/>
      <c r="IC6" s="1442"/>
      <c r="ID6" s="1442"/>
      <c r="IE6" s="1442"/>
      <c r="IF6" s="1442"/>
      <c r="IG6" s="1442"/>
      <c r="IH6" s="1442"/>
      <c r="II6" s="1442"/>
      <c r="IJ6" s="1442"/>
      <c r="IK6" s="1442"/>
      <c r="IL6" s="1442"/>
      <c r="IM6" s="1442"/>
      <c r="IN6" s="1442"/>
      <c r="IO6" s="1442"/>
      <c r="IP6" s="1442"/>
      <c r="IQ6" s="1442"/>
      <c r="IR6" s="1442"/>
      <c r="IS6" s="1442"/>
      <c r="IT6" s="1442"/>
      <c r="IU6" s="1443"/>
      <c r="IX6" s="1438"/>
      <c r="IY6" s="1438"/>
      <c r="IZ6" s="1438"/>
      <c r="JA6" s="1438"/>
      <c r="JB6" s="1438"/>
      <c r="JC6" s="1438"/>
      <c r="JD6" s="1438"/>
      <c r="JE6" s="1438"/>
      <c r="JF6" s="1438"/>
      <c r="JG6" s="1438"/>
      <c r="JH6" s="1438"/>
      <c r="JI6" s="1438"/>
      <c r="JJ6" s="1438"/>
      <c r="JK6" s="1438"/>
      <c r="JL6" s="1438"/>
      <c r="JM6" s="1438"/>
      <c r="JN6" s="1438"/>
      <c r="JO6" s="1438"/>
      <c r="JP6" s="1438"/>
      <c r="JQ6" s="1438"/>
      <c r="JR6" s="1438"/>
      <c r="JS6" s="1438"/>
      <c r="JT6" s="1438"/>
      <c r="JU6" s="1438"/>
      <c r="JV6" s="1438"/>
      <c r="JW6" s="1438"/>
      <c r="JX6" s="1438"/>
      <c r="JY6" s="1438"/>
      <c r="JZ6" s="1438"/>
      <c r="KA6" s="1438"/>
      <c r="KC6" s="1433"/>
      <c r="KH6" s="1433"/>
      <c r="KL6" s="1433"/>
      <c r="KP6" s="1433"/>
      <c r="KT6" s="1476"/>
      <c r="KU6" s="1476"/>
      <c r="KV6" s="1476"/>
      <c r="KW6" s="1476"/>
      <c r="KX6" s="1476"/>
      <c r="KY6" s="1476"/>
      <c r="KZ6" s="1476"/>
      <c r="LA6" s="1476"/>
      <c r="LB6" s="1476"/>
      <c r="LC6" s="1476"/>
      <c r="LD6" s="1476"/>
      <c r="LE6" s="1476"/>
      <c r="LF6" s="1476"/>
      <c r="LG6" s="1476"/>
      <c r="LH6" s="1476"/>
      <c r="LI6" s="1476"/>
      <c r="LJ6" s="1476"/>
      <c r="LK6" s="1476"/>
      <c r="LL6" s="1477"/>
      <c r="LP6" s="1433"/>
      <c r="LT6" s="1433"/>
      <c r="LY6" s="1433"/>
      <c r="MC6" s="1433"/>
      <c r="MH6" s="1484"/>
      <c r="MI6" s="1485"/>
      <c r="MJ6" s="1485"/>
      <c r="MK6" s="1485"/>
      <c r="ML6" s="1485"/>
      <c r="MM6" s="1485"/>
      <c r="MN6" s="1485"/>
      <c r="MO6" s="1485"/>
      <c r="MP6" s="1485"/>
      <c r="MQ6" s="1485"/>
      <c r="MR6" s="1485"/>
      <c r="MS6" s="1485"/>
      <c r="MT6" s="1485"/>
      <c r="MU6" s="1485"/>
      <c r="MV6" s="1486"/>
      <c r="MY6" s="1433"/>
      <c r="NB6" s="1438"/>
      <c r="NC6" s="1438"/>
      <c r="ND6" s="1438"/>
      <c r="NE6" s="1438"/>
      <c r="NF6" s="1438"/>
      <c r="NG6" s="1438"/>
      <c r="NH6" s="1438"/>
      <c r="NI6" s="1438"/>
      <c r="NJ6" s="1438"/>
      <c r="NK6" s="1438"/>
      <c r="NL6" s="1438"/>
      <c r="NM6" s="1438"/>
      <c r="NN6" s="1438"/>
      <c r="NO6" s="1438"/>
      <c r="NP6" s="1438"/>
      <c r="NQ6" s="1438"/>
      <c r="NR6" s="1438"/>
      <c r="NS6" s="1438"/>
      <c r="NT6" s="1438"/>
      <c r="NU6" s="1438"/>
      <c r="NV6" s="1438"/>
      <c r="NW6" s="1438"/>
      <c r="NX6" s="1438"/>
      <c r="NY6" s="1438"/>
      <c r="NZ6" s="1438"/>
      <c r="OA6" s="1438"/>
      <c r="OB6" s="1438"/>
      <c r="OC6" s="1438"/>
      <c r="OD6" s="1438"/>
      <c r="OE6" s="1438"/>
      <c r="OF6" s="1438"/>
      <c r="OG6" s="1438"/>
      <c r="OH6" s="1439"/>
      <c r="OI6" s="1440"/>
      <c r="OM6" s="1487"/>
      <c r="ON6" s="1488"/>
      <c r="OO6" s="1488"/>
      <c r="OP6" s="1488"/>
      <c r="OQ6" s="1488"/>
      <c r="OR6" s="1488"/>
      <c r="OS6" s="1488"/>
      <c r="OT6" s="1488"/>
      <c r="OU6" s="1488"/>
      <c r="OV6" s="1488"/>
      <c r="OW6" s="1488"/>
      <c r="OX6" s="1488"/>
      <c r="OY6" s="1488"/>
      <c r="OZ6" s="1488"/>
      <c r="PA6" s="1488"/>
      <c r="PB6" s="1488"/>
      <c r="PC6" s="1488"/>
      <c r="PD6" s="1488"/>
      <c r="PE6" s="1488"/>
      <c r="PF6" s="1488"/>
      <c r="PG6" s="1488"/>
      <c r="PH6" s="1488"/>
      <c r="PI6" s="1488"/>
      <c r="PJ6" s="1488"/>
      <c r="PK6" s="1488"/>
      <c r="PL6" s="1488"/>
      <c r="PM6" s="1488"/>
      <c r="PN6" s="1488"/>
      <c r="PO6" s="1488"/>
      <c r="PP6" s="1488"/>
      <c r="PQ6" s="1489"/>
      <c r="PS6" s="1490"/>
      <c r="PT6" s="1433"/>
      <c r="PW6" s="1434"/>
      <c r="PX6" s="1434"/>
      <c r="PY6" s="1434"/>
      <c r="PZ6" s="1434"/>
      <c r="QA6" s="1434"/>
      <c r="QB6" s="1434"/>
      <c r="QC6" s="1434"/>
      <c r="QD6" s="1434"/>
      <c r="QE6" s="1434"/>
      <c r="QF6" s="1434"/>
      <c r="QG6" s="1434"/>
      <c r="QH6" s="1434"/>
      <c r="QI6" s="1434"/>
      <c r="QJ6" s="1434"/>
      <c r="QK6" s="1434"/>
      <c r="QL6" s="1434"/>
      <c r="QM6" s="1434"/>
      <c r="QN6" s="1434"/>
      <c r="QO6" s="1434"/>
      <c r="QP6" s="1434"/>
      <c r="QQ6" s="1434"/>
      <c r="QR6" s="1434"/>
      <c r="QS6" s="1434"/>
      <c r="QT6" s="1434"/>
      <c r="QU6" s="1434"/>
      <c r="QY6" s="1433"/>
      <c r="RC6" s="1433"/>
      <c r="RG6" s="1432"/>
    </row>
    <row r="7" spans="1:475" s="1431" customFormat="1" ht="19.899999999999999" customHeight="1" x14ac:dyDescent="0.25">
      <c r="B7" s="1575"/>
      <c r="C7" s="1457">
        <f t="shared" ref="C7:C32" si="0">1+C6</f>
        <v>3</v>
      </c>
      <c r="D7" s="1430"/>
      <c r="G7" s="1432"/>
      <c r="L7" s="1433"/>
      <c r="M7" s="1444"/>
      <c r="N7" s="1444"/>
      <c r="O7" s="1444"/>
      <c r="P7" s="1445"/>
      <c r="Q7" s="1444"/>
      <c r="R7" s="1444"/>
      <c r="S7" s="1444"/>
      <c r="T7" s="1445"/>
      <c r="U7" s="1444"/>
      <c r="V7" s="1444"/>
      <c r="W7" s="1434"/>
      <c r="X7" s="1434"/>
      <c r="Y7" s="1434"/>
      <c r="Z7" s="1434"/>
      <c r="AA7" s="1434"/>
      <c r="AB7" s="1434"/>
      <c r="AC7" s="1434"/>
      <c r="AD7" s="1434"/>
      <c r="AE7" s="1434"/>
      <c r="AF7" s="1434"/>
      <c r="AG7" s="1434"/>
      <c r="AH7" s="1434"/>
      <c r="AI7" s="1434"/>
      <c r="AJ7" s="1434"/>
      <c r="AK7" s="1434"/>
      <c r="AL7" s="1434"/>
      <c r="AM7" s="1434"/>
      <c r="AN7" s="1434"/>
      <c r="AO7" s="1434"/>
      <c r="AP7" s="1434"/>
      <c r="AQ7" s="1434"/>
      <c r="AR7" s="1434"/>
      <c r="AS7" s="1434"/>
      <c r="AT7" s="1434"/>
      <c r="AU7" s="1434"/>
      <c r="AY7" s="1433"/>
      <c r="BC7" s="1433"/>
      <c r="BG7" s="1432"/>
      <c r="BL7" s="1433"/>
      <c r="BM7" s="1444"/>
      <c r="BN7" s="1444"/>
      <c r="BO7" s="1444"/>
      <c r="BP7" s="1475"/>
      <c r="BQ7" s="1476"/>
      <c r="BR7" s="1476"/>
      <c r="BS7" s="1476"/>
      <c r="BT7" s="1476"/>
      <c r="BU7" s="1476"/>
      <c r="BV7" s="1476"/>
      <c r="BW7" s="1476"/>
      <c r="BX7" s="1476"/>
      <c r="BY7" s="1476"/>
      <c r="BZ7" s="1476"/>
      <c r="CA7" s="1476"/>
      <c r="CB7" s="1477"/>
      <c r="CC7" s="1433"/>
      <c r="CH7" s="1433"/>
      <c r="CL7" s="1433"/>
      <c r="CP7" s="1433"/>
      <c r="CT7" s="1433"/>
      <c r="CX7" s="1438"/>
      <c r="CY7" s="1438"/>
      <c r="CZ7" s="1438"/>
      <c r="DA7" s="1438"/>
      <c r="DB7" s="1438"/>
      <c r="DC7" s="1438"/>
      <c r="DD7" s="1438"/>
      <c r="DE7" s="1438"/>
      <c r="DF7" s="1438"/>
      <c r="DG7" s="1438"/>
      <c r="DH7" s="1438"/>
      <c r="DI7" s="1438"/>
      <c r="DJ7" s="1438"/>
      <c r="DK7" s="1438"/>
      <c r="DL7" s="1438"/>
      <c r="DM7" s="1438"/>
      <c r="DN7" s="1438"/>
      <c r="DO7" s="1438"/>
      <c r="DP7" s="1438"/>
      <c r="DQ7" s="1438"/>
      <c r="DR7" s="1438"/>
      <c r="DS7" s="1438"/>
      <c r="DT7" s="1438"/>
      <c r="DU7" s="1438"/>
      <c r="DV7" s="1438"/>
      <c r="DW7" s="1438"/>
      <c r="DX7" s="1438"/>
      <c r="DY7" s="1438"/>
      <c r="DZ7" s="1438"/>
      <c r="EA7" s="1438"/>
      <c r="EB7" s="1438"/>
      <c r="EC7" s="1439"/>
      <c r="EH7" s="1433"/>
      <c r="EI7" s="1478"/>
      <c r="EJ7" s="1479"/>
      <c r="EK7" s="1479"/>
      <c r="EL7" s="1479"/>
      <c r="EM7" s="1479"/>
      <c r="EN7" s="1479"/>
      <c r="EO7" s="1479"/>
      <c r="EP7" s="1479"/>
      <c r="EQ7" s="1479"/>
      <c r="ER7" s="1479"/>
      <c r="ES7" s="1479"/>
      <c r="ET7" s="1479"/>
      <c r="EU7" s="1479"/>
      <c r="EV7" s="1479"/>
      <c r="EW7" s="1479"/>
      <c r="EX7" s="1480"/>
      <c r="EY7" s="1433"/>
      <c r="FC7" s="1433"/>
      <c r="FG7" s="1432"/>
      <c r="FL7" s="1433"/>
      <c r="FP7" s="1433"/>
      <c r="FT7" s="1433"/>
      <c r="FU7" s="1481"/>
      <c r="FV7" s="1482"/>
      <c r="FW7" s="1482"/>
      <c r="FX7" s="1482"/>
      <c r="FY7" s="1482"/>
      <c r="FZ7" s="1482"/>
      <c r="GA7" s="1482"/>
      <c r="GB7" s="1482"/>
      <c r="GC7" s="1482"/>
      <c r="GD7" s="1482"/>
      <c r="GE7" s="1482"/>
      <c r="GF7" s="1482"/>
      <c r="GG7" s="1482"/>
      <c r="GH7" s="1482"/>
      <c r="GI7" s="1482"/>
      <c r="GJ7" s="1482"/>
      <c r="GK7" s="1482"/>
      <c r="GL7" s="1482"/>
      <c r="GM7" s="1482"/>
      <c r="GN7" s="1482"/>
      <c r="GO7" s="1482"/>
      <c r="GP7" s="1482"/>
      <c r="GQ7" s="1482"/>
      <c r="GR7" s="1482"/>
      <c r="GS7" s="1482"/>
      <c r="GT7" s="1482"/>
      <c r="GU7" s="1482"/>
      <c r="GV7" s="1482"/>
      <c r="GW7" s="1482"/>
      <c r="GX7" s="1482"/>
      <c r="GY7" s="1482"/>
      <c r="GZ7" s="1482"/>
      <c r="HA7" s="1482"/>
      <c r="HB7" s="1482"/>
      <c r="HC7" s="1482"/>
      <c r="HD7" s="1482"/>
      <c r="HE7" s="1482"/>
      <c r="HF7" s="1482"/>
      <c r="HG7" s="1482"/>
      <c r="HH7" s="1482"/>
      <c r="HI7" s="1482"/>
      <c r="HJ7" s="1482"/>
      <c r="HK7" s="1482"/>
      <c r="HL7" s="1482"/>
      <c r="HM7" s="1482"/>
      <c r="HN7" s="1482"/>
      <c r="HO7" s="1482"/>
      <c r="HP7" s="1482"/>
      <c r="HQ7" s="1482"/>
      <c r="HR7" s="1483"/>
      <c r="HT7" s="1433"/>
      <c r="HW7" s="1441"/>
      <c r="HX7" s="1442"/>
      <c r="HY7" s="1442"/>
      <c r="HZ7" s="1442"/>
      <c r="IA7" s="1442"/>
      <c r="IB7" s="1442"/>
      <c r="IC7" s="1442"/>
      <c r="ID7" s="1442"/>
      <c r="IE7" s="1442"/>
      <c r="IF7" s="1442"/>
      <c r="IG7" s="1442"/>
      <c r="IH7" s="1442"/>
      <c r="II7" s="1442"/>
      <c r="IJ7" s="1442"/>
      <c r="IK7" s="1442"/>
      <c r="IL7" s="1442"/>
      <c r="IM7" s="1442"/>
      <c r="IN7" s="1442"/>
      <c r="IO7" s="1442"/>
      <c r="IP7" s="1442"/>
      <c r="IQ7" s="1442"/>
      <c r="IR7" s="1442"/>
      <c r="IS7" s="1442"/>
      <c r="IT7" s="1442"/>
      <c r="IU7" s="1443"/>
      <c r="IX7" s="1438"/>
      <c r="IY7" s="1438"/>
      <c r="IZ7" s="1438"/>
      <c r="JA7" s="1438"/>
      <c r="JB7" s="1438"/>
      <c r="JC7" s="1438"/>
      <c r="JD7" s="1438"/>
      <c r="JE7" s="1438"/>
      <c r="JF7" s="1438"/>
      <c r="JG7" s="1438"/>
      <c r="JH7" s="1438"/>
      <c r="JI7" s="1438"/>
      <c r="JJ7" s="1438"/>
      <c r="JK7" s="1438"/>
      <c r="JL7" s="1438"/>
      <c r="JM7" s="1438"/>
      <c r="JN7" s="1438"/>
      <c r="JO7" s="1438"/>
      <c r="JP7" s="1438"/>
      <c r="JQ7" s="1438"/>
      <c r="JR7" s="1438"/>
      <c r="JS7" s="1438"/>
      <c r="JT7" s="1438"/>
      <c r="JU7" s="1438"/>
      <c r="JV7" s="1438"/>
      <c r="JW7" s="1438"/>
      <c r="JX7" s="1438"/>
      <c r="JY7" s="1438"/>
      <c r="JZ7" s="1438"/>
      <c r="KA7" s="1438"/>
      <c r="KC7" s="1433"/>
      <c r="KH7" s="1433"/>
      <c r="KL7" s="1433"/>
      <c r="KP7" s="1433"/>
      <c r="KT7" s="1476"/>
      <c r="KU7" s="1476"/>
      <c r="KV7" s="1476"/>
      <c r="KW7" s="1476"/>
      <c r="KX7" s="1476"/>
      <c r="KY7" s="1476"/>
      <c r="KZ7" s="1476"/>
      <c r="LA7" s="1476"/>
      <c r="LB7" s="1476"/>
      <c r="LC7" s="1476"/>
      <c r="LD7" s="1476"/>
      <c r="LE7" s="1476"/>
      <c r="LF7" s="1476"/>
      <c r="LG7" s="1476"/>
      <c r="LH7" s="1476"/>
      <c r="LI7" s="1476"/>
      <c r="LJ7" s="1476"/>
      <c r="LK7" s="1476"/>
      <c r="LL7" s="1477"/>
      <c r="LP7" s="1433"/>
      <c r="LT7" s="1433"/>
      <c r="LY7" s="1433"/>
      <c r="MC7" s="1433"/>
      <c r="MH7" s="1484"/>
      <c r="MI7" s="1485"/>
      <c r="MJ7" s="1485"/>
      <c r="MK7" s="1485"/>
      <c r="ML7" s="1485"/>
      <c r="MM7" s="1485"/>
      <c r="MN7" s="1485"/>
      <c r="MO7" s="1485"/>
      <c r="MP7" s="1485"/>
      <c r="MQ7" s="1485"/>
      <c r="MR7" s="1485"/>
      <c r="MS7" s="1485"/>
      <c r="MT7" s="1485"/>
      <c r="MU7" s="1485"/>
      <c r="MV7" s="1486"/>
      <c r="MY7" s="1433"/>
      <c r="NB7" s="1438"/>
      <c r="NC7" s="1438"/>
      <c r="ND7" s="1438"/>
      <c r="NE7" s="1438"/>
      <c r="NF7" s="1438"/>
      <c r="NG7" s="1438"/>
      <c r="NH7" s="1438"/>
      <c r="NI7" s="1438"/>
      <c r="NJ7" s="1438"/>
      <c r="NK7" s="1438"/>
      <c r="NL7" s="1438"/>
      <c r="NM7" s="1438"/>
      <c r="NN7" s="1438"/>
      <c r="NO7" s="1438"/>
      <c r="NP7" s="1438"/>
      <c r="NQ7" s="1438"/>
      <c r="NR7" s="1438"/>
      <c r="NS7" s="1438"/>
      <c r="NT7" s="1438"/>
      <c r="NU7" s="1438"/>
      <c r="NV7" s="1438"/>
      <c r="NW7" s="1438"/>
      <c r="NX7" s="1438"/>
      <c r="NY7" s="1438"/>
      <c r="NZ7" s="1438"/>
      <c r="OA7" s="1438"/>
      <c r="OB7" s="1438"/>
      <c r="OC7" s="1438"/>
      <c r="OD7" s="1438"/>
      <c r="OE7" s="1438"/>
      <c r="OF7" s="1438"/>
      <c r="OG7" s="1438"/>
      <c r="OH7" s="1439"/>
      <c r="OI7" s="1440"/>
      <c r="OM7" s="1487"/>
      <c r="ON7" s="1488"/>
      <c r="OO7" s="1488"/>
      <c r="OP7" s="1488"/>
      <c r="OQ7" s="1488"/>
      <c r="OR7" s="1488"/>
      <c r="OS7" s="1488"/>
      <c r="OT7" s="1488"/>
      <c r="OU7" s="1488"/>
      <c r="OV7" s="1488"/>
      <c r="OW7" s="1488"/>
      <c r="OX7" s="1488"/>
      <c r="OY7" s="1488"/>
      <c r="OZ7" s="1488"/>
      <c r="PA7" s="1488"/>
      <c r="PB7" s="1488"/>
      <c r="PC7" s="1488"/>
      <c r="PD7" s="1488"/>
      <c r="PE7" s="1488"/>
      <c r="PF7" s="1488"/>
      <c r="PG7" s="1488"/>
      <c r="PH7" s="1488"/>
      <c r="PI7" s="1488"/>
      <c r="PJ7" s="1488"/>
      <c r="PK7" s="1488"/>
      <c r="PL7" s="1488"/>
      <c r="PM7" s="1488"/>
      <c r="PN7" s="1488"/>
      <c r="PO7" s="1488"/>
      <c r="PP7" s="1488"/>
      <c r="PQ7" s="1489"/>
      <c r="PS7" s="1490"/>
      <c r="PT7" s="1433"/>
      <c r="PW7" s="1434"/>
      <c r="PX7" s="1434"/>
      <c r="PY7" s="1434"/>
      <c r="PZ7" s="1434"/>
      <c r="QA7" s="1434"/>
      <c r="QB7" s="1434"/>
      <c r="QC7" s="1434"/>
      <c r="QD7" s="1434"/>
      <c r="QE7" s="1434"/>
      <c r="QF7" s="1434"/>
      <c r="QG7" s="1434"/>
      <c r="QH7" s="1434"/>
      <c r="QI7" s="1434"/>
      <c r="QJ7" s="1434"/>
      <c r="QK7" s="1434"/>
      <c r="QL7" s="1434"/>
      <c r="QM7" s="1434"/>
      <c r="QN7" s="1434"/>
      <c r="QO7" s="1434"/>
      <c r="QP7" s="1434"/>
      <c r="QQ7" s="1434"/>
      <c r="QR7" s="1434"/>
      <c r="QS7" s="1434"/>
      <c r="QT7" s="1434"/>
      <c r="QU7" s="1434"/>
      <c r="QY7" s="1433"/>
      <c r="RC7" s="1433"/>
      <c r="RG7" s="1432"/>
    </row>
    <row r="8" spans="1:475" s="1431" customFormat="1" ht="19.899999999999999" customHeight="1" x14ac:dyDescent="0.25">
      <c r="B8" s="1575"/>
      <c r="C8" s="1457">
        <f t="shared" si="0"/>
        <v>4</v>
      </c>
      <c r="D8" s="1430"/>
      <c r="G8" s="1432"/>
      <c r="L8" s="1433"/>
      <c r="P8" s="1433"/>
      <c r="R8" s="1444"/>
      <c r="S8" s="1444"/>
      <c r="T8" s="1445"/>
      <c r="U8" s="1444"/>
      <c r="V8" s="1444"/>
      <c r="W8" s="1434"/>
      <c r="X8" s="1434"/>
      <c r="Y8" s="1434"/>
      <c r="Z8" s="1434"/>
      <c r="AA8" s="1434"/>
      <c r="AB8" s="1434"/>
      <c r="AC8" s="1434"/>
      <c r="AD8" s="1434"/>
      <c r="AE8" s="1434"/>
      <c r="AF8" s="1434"/>
      <c r="AG8" s="1434"/>
      <c r="AH8" s="1434"/>
      <c r="AI8" s="1434"/>
      <c r="AJ8" s="1434"/>
      <c r="AK8" s="1434"/>
      <c r="AL8" s="1434"/>
      <c r="AM8" s="1434"/>
      <c r="AN8" s="1434"/>
      <c r="AO8" s="1434"/>
      <c r="AP8" s="1434"/>
      <c r="AQ8" s="1434"/>
      <c r="AR8" s="1434"/>
      <c r="AS8" s="1434"/>
      <c r="AT8" s="1434"/>
      <c r="AU8" s="1434"/>
      <c r="AY8" s="1433"/>
      <c r="BC8" s="1433"/>
      <c r="BG8" s="1432"/>
      <c r="BL8" s="1433"/>
      <c r="BP8" s="1491"/>
      <c r="BQ8" s="1492"/>
      <c r="BR8" s="1492"/>
      <c r="BS8" s="1492"/>
      <c r="BT8" s="1492"/>
      <c r="BU8" s="1492"/>
      <c r="BV8" s="1476"/>
      <c r="BW8" s="1476"/>
      <c r="BX8" s="1476"/>
      <c r="BY8" s="1476"/>
      <c r="BZ8" s="1476"/>
      <c r="CA8" s="1476"/>
      <c r="CB8" s="1477"/>
      <c r="CC8" s="1433"/>
      <c r="CH8" s="1433"/>
      <c r="CL8" s="1433"/>
      <c r="CP8" s="1433"/>
      <c r="CT8" s="1433"/>
      <c r="CX8" s="1438"/>
      <c r="CY8" s="1438"/>
      <c r="CZ8" s="1438"/>
      <c r="DA8" s="1438"/>
      <c r="DB8" s="1438"/>
      <c r="DC8" s="1438"/>
      <c r="DD8" s="1438"/>
      <c r="DE8" s="1438"/>
      <c r="DF8" s="1438"/>
      <c r="DG8" s="1438"/>
      <c r="DH8" s="1438"/>
      <c r="DI8" s="1438"/>
      <c r="DJ8" s="1438"/>
      <c r="DK8" s="1438"/>
      <c r="DL8" s="1438"/>
      <c r="DM8" s="1438"/>
      <c r="DN8" s="1438"/>
      <c r="DO8" s="1438"/>
      <c r="DP8" s="1438"/>
      <c r="DQ8" s="1438"/>
      <c r="DR8" s="1438"/>
      <c r="DS8" s="1438"/>
      <c r="DT8" s="1438"/>
      <c r="DU8" s="1438"/>
      <c r="DV8" s="1438"/>
      <c r="DW8" s="1438"/>
      <c r="DX8" s="1438"/>
      <c r="DY8" s="1438"/>
      <c r="DZ8" s="1438"/>
      <c r="EA8" s="1438"/>
      <c r="EB8" s="1438"/>
      <c r="EC8" s="1439"/>
      <c r="EH8" s="1433"/>
      <c r="EI8" s="1478"/>
      <c r="EJ8" s="1479"/>
      <c r="EK8" s="1479"/>
      <c r="EL8" s="1479"/>
      <c r="EM8" s="1479"/>
      <c r="EN8" s="1479"/>
      <c r="EO8" s="1479"/>
      <c r="EP8" s="1479"/>
      <c r="EQ8" s="1479"/>
      <c r="ER8" s="1479"/>
      <c r="ES8" s="1479"/>
      <c r="ET8" s="1479"/>
      <c r="EU8" s="1479"/>
      <c r="EV8" s="1479"/>
      <c r="EW8" s="1479"/>
      <c r="EX8" s="1480"/>
      <c r="EY8" s="1433"/>
      <c r="FC8" s="1433"/>
      <c r="FG8" s="1432"/>
      <c r="FL8" s="1433"/>
      <c r="FP8" s="1433"/>
      <c r="FT8" s="1433"/>
      <c r="FU8" s="1481"/>
      <c r="FV8" s="1482"/>
      <c r="FW8" s="1482"/>
      <c r="FX8" s="1482"/>
      <c r="FY8" s="1482"/>
      <c r="FZ8" s="1482"/>
      <c r="GA8" s="1482"/>
      <c r="GB8" s="1482"/>
      <c r="GC8" s="1482"/>
      <c r="GD8" s="1482"/>
      <c r="GE8" s="1482"/>
      <c r="GF8" s="1482"/>
      <c r="GG8" s="1482"/>
      <c r="GH8" s="1482"/>
      <c r="GI8" s="1482"/>
      <c r="GJ8" s="1482"/>
      <c r="GK8" s="1482"/>
      <c r="GL8" s="1482"/>
      <c r="GM8" s="1482"/>
      <c r="GN8" s="1482"/>
      <c r="GO8" s="1482"/>
      <c r="GP8" s="1482"/>
      <c r="GQ8" s="1482"/>
      <c r="GR8" s="1482"/>
      <c r="GS8" s="1482"/>
      <c r="GT8" s="1482"/>
      <c r="GU8" s="1482"/>
      <c r="GV8" s="1482"/>
      <c r="GW8" s="1482"/>
      <c r="GX8" s="1482"/>
      <c r="GY8" s="1482"/>
      <c r="GZ8" s="1482"/>
      <c r="HA8" s="1482"/>
      <c r="HB8" s="1482"/>
      <c r="HC8" s="1482"/>
      <c r="HD8" s="1482"/>
      <c r="HE8" s="1482"/>
      <c r="HF8" s="1482"/>
      <c r="HG8" s="1482"/>
      <c r="HH8" s="1482"/>
      <c r="HI8" s="1482"/>
      <c r="HJ8" s="1482"/>
      <c r="HK8" s="1482"/>
      <c r="HL8" s="1482"/>
      <c r="HM8" s="1482"/>
      <c r="HN8" s="1482"/>
      <c r="HO8" s="1482"/>
      <c r="HP8" s="1482"/>
      <c r="HQ8" s="1482"/>
      <c r="HR8" s="1483"/>
      <c r="HT8" s="1433"/>
      <c r="HW8" s="1441"/>
      <c r="HX8" s="1442"/>
      <c r="HY8" s="1442"/>
      <c r="HZ8" s="1442"/>
      <c r="IA8" s="1442"/>
      <c r="IB8" s="1442"/>
      <c r="IC8" s="1442"/>
      <c r="ID8" s="1442"/>
      <c r="IE8" s="1442"/>
      <c r="IF8" s="1442"/>
      <c r="IG8" s="1442"/>
      <c r="IH8" s="1442"/>
      <c r="II8" s="1442"/>
      <c r="IJ8" s="1442"/>
      <c r="IK8" s="1442"/>
      <c r="IL8" s="1442"/>
      <c r="IM8" s="1442"/>
      <c r="IN8" s="1442"/>
      <c r="IO8" s="1442"/>
      <c r="IP8" s="1442"/>
      <c r="IQ8" s="1442"/>
      <c r="IR8" s="1442"/>
      <c r="IS8" s="1442"/>
      <c r="IT8" s="1442"/>
      <c r="IU8" s="1443"/>
      <c r="IX8" s="1438"/>
      <c r="IY8" s="1438"/>
      <c r="IZ8" s="1438"/>
      <c r="JA8" s="1438"/>
      <c r="JB8" s="1438"/>
      <c r="JC8" s="1438"/>
      <c r="JD8" s="1438"/>
      <c r="JE8" s="1438"/>
      <c r="JF8" s="1438"/>
      <c r="JG8" s="1438"/>
      <c r="JH8" s="1438"/>
      <c r="JI8" s="1438"/>
      <c r="JJ8" s="1438"/>
      <c r="JK8" s="1438"/>
      <c r="JL8" s="1438"/>
      <c r="JM8" s="1438"/>
      <c r="JN8" s="1438"/>
      <c r="JO8" s="1438"/>
      <c r="JP8" s="1438"/>
      <c r="JQ8" s="1438"/>
      <c r="JR8" s="1438"/>
      <c r="JS8" s="1438"/>
      <c r="JT8" s="1438"/>
      <c r="JU8" s="1438"/>
      <c r="JV8" s="1438"/>
      <c r="JW8" s="1438"/>
      <c r="JX8" s="1438"/>
      <c r="JY8" s="1438"/>
      <c r="JZ8" s="1438"/>
      <c r="KA8" s="1438"/>
      <c r="KC8" s="1433"/>
      <c r="KH8" s="1433"/>
      <c r="KL8" s="1433"/>
      <c r="KP8" s="1433"/>
      <c r="KT8" s="1476"/>
      <c r="KU8" s="1476"/>
      <c r="KV8" s="1476"/>
      <c r="KW8" s="1476"/>
      <c r="KX8" s="1476"/>
      <c r="KY8" s="1476"/>
      <c r="KZ8" s="1476"/>
      <c r="LA8" s="1476"/>
      <c r="LB8" s="1476"/>
      <c r="LC8" s="1476"/>
      <c r="LD8" s="1476"/>
      <c r="LE8" s="1476"/>
      <c r="LF8" s="1476"/>
      <c r="LG8" s="1476"/>
      <c r="LH8" s="1476"/>
      <c r="LI8" s="1476"/>
      <c r="LJ8" s="1476"/>
      <c r="LK8" s="1476"/>
      <c r="LL8" s="1477"/>
      <c r="LP8" s="1433"/>
      <c r="LT8" s="1433"/>
      <c r="LY8" s="1433"/>
      <c r="MC8" s="1433"/>
      <c r="MH8" s="1493"/>
      <c r="MI8" s="1494"/>
      <c r="MJ8" s="1494"/>
      <c r="MK8" s="1494"/>
      <c r="ML8" s="1494"/>
      <c r="MM8" s="1494"/>
      <c r="MN8" s="1494"/>
      <c r="MO8" s="1494"/>
      <c r="MP8" s="1494"/>
      <c r="MQ8" s="1494"/>
      <c r="MR8" s="1494"/>
      <c r="MS8" s="1494"/>
      <c r="MT8" s="1494"/>
      <c r="MU8" s="1494"/>
      <c r="MV8" s="1495"/>
      <c r="MY8" s="1433"/>
      <c r="NB8" s="1438"/>
      <c r="NC8" s="1438"/>
      <c r="ND8" s="1438"/>
      <c r="NE8" s="1438"/>
      <c r="NF8" s="1438"/>
      <c r="NG8" s="1438"/>
      <c r="NH8" s="1438"/>
      <c r="NI8" s="1438"/>
      <c r="NJ8" s="1438"/>
      <c r="NK8" s="1438"/>
      <c r="NL8" s="1438"/>
      <c r="NM8" s="1438"/>
      <c r="NN8" s="1438"/>
      <c r="NO8" s="1438"/>
      <c r="NP8" s="1438"/>
      <c r="NQ8" s="1438"/>
      <c r="NR8" s="1438"/>
      <c r="NS8" s="1438"/>
      <c r="NT8" s="1438"/>
      <c r="NU8" s="1438"/>
      <c r="NV8" s="1438"/>
      <c r="NW8" s="1438"/>
      <c r="NX8" s="1438"/>
      <c r="NY8" s="1438"/>
      <c r="NZ8" s="1438"/>
      <c r="OA8" s="1438"/>
      <c r="OB8" s="1438"/>
      <c r="OC8" s="1438"/>
      <c r="OD8" s="1438"/>
      <c r="OE8" s="1438"/>
      <c r="OF8" s="1438"/>
      <c r="OG8" s="1438"/>
      <c r="OH8" s="1439"/>
      <c r="OI8" s="1440"/>
      <c r="OM8" s="1487"/>
      <c r="ON8" s="1488"/>
      <c r="OO8" s="1488"/>
      <c r="OP8" s="1488"/>
      <c r="OQ8" s="1488"/>
      <c r="OR8" s="1488"/>
      <c r="OS8" s="1488"/>
      <c r="OT8" s="1488"/>
      <c r="OU8" s="1488"/>
      <c r="OV8" s="1488"/>
      <c r="OW8" s="1488"/>
      <c r="OX8" s="1488"/>
      <c r="OY8" s="1488"/>
      <c r="OZ8" s="1488"/>
      <c r="PA8" s="1488"/>
      <c r="PB8" s="1488"/>
      <c r="PC8" s="1488"/>
      <c r="PD8" s="1488"/>
      <c r="PE8" s="1488"/>
      <c r="PF8" s="1488"/>
      <c r="PG8" s="1488"/>
      <c r="PH8" s="1488"/>
      <c r="PI8" s="1488"/>
      <c r="PJ8" s="1488"/>
      <c r="PK8" s="1488"/>
      <c r="PL8" s="1488"/>
      <c r="PM8" s="1488"/>
      <c r="PN8" s="1488"/>
      <c r="PO8" s="1488"/>
      <c r="PP8" s="1488"/>
      <c r="PQ8" s="1489"/>
      <c r="PS8" s="1490"/>
      <c r="PT8" s="1433"/>
      <c r="PW8" s="1434"/>
      <c r="PX8" s="1434"/>
      <c r="PY8" s="1434"/>
      <c r="PZ8" s="1434"/>
      <c r="QA8" s="1434"/>
      <c r="QB8" s="1434"/>
      <c r="QC8" s="1434"/>
      <c r="QD8" s="1434"/>
      <c r="QE8" s="1434"/>
      <c r="QF8" s="1434"/>
      <c r="QG8" s="1434"/>
      <c r="QH8" s="1434"/>
      <c r="QI8" s="1434"/>
      <c r="QJ8" s="1434"/>
      <c r="QK8" s="1434"/>
      <c r="QL8" s="1434"/>
      <c r="QM8" s="1434"/>
      <c r="QN8" s="1434"/>
      <c r="QO8" s="1434"/>
      <c r="QP8" s="1434"/>
      <c r="QQ8" s="1434"/>
      <c r="QR8" s="1434"/>
      <c r="QS8" s="1434"/>
      <c r="QT8" s="1434"/>
      <c r="QU8" s="1434"/>
      <c r="QY8" s="1433"/>
      <c r="RC8" s="1433"/>
      <c r="RG8" s="1432"/>
    </row>
    <row r="9" spans="1:475" s="1431" customFormat="1" ht="19.899999999999999" customHeight="1" x14ac:dyDescent="0.25">
      <c r="B9" s="1575"/>
      <c r="C9" s="1457">
        <f t="shared" si="0"/>
        <v>5</v>
      </c>
      <c r="D9" s="1446"/>
      <c r="E9" s="1447"/>
      <c r="F9" s="1447"/>
      <c r="G9" s="1448"/>
      <c r="H9" s="1447"/>
      <c r="I9" s="1447"/>
      <c r="J9" s="1447"/>
      <c r="K9" s="1447"/>
      <c r="L9" s="1449"/>
      <c r="M9" s="1447"/>
      <c r="N9" s="1447"/>
      <c r="P9" s="1433"/>
      <c r="T9" s="1433"/>
      <c r="U9" s="1450"/>
      <c r="V9" s="1447"/>
      <c r="W9" s="1434"/>
      <c r="X9" s="1434"/>
      <c r="Y9" s="1434"/>
      <c r="Z9" s="1434"/>
      <c r="AA9" s="1434"/>
      <c r="AB9" s="1434"/>
      <c r="AC9" s="1434"/>
      <c r="AD9" s="1434"/>
      <c r="AE9" s="1434"/>
      <c r="AF9" s="1434"/>
      <c r="AG9" s="1434"/>
      <c r="AH9" s="1434"/>
      <c r="AI9" s="1434"/>
      <c r="AJ9" s="1434"/>
      <c r="AK9" s="1434"/>
      <c r="AL9" s="1434"/>
      <c r="AM9" s="1434"/>
      <c r="AN9" s="1434"/>
      <c r="AO9" s="1434"/>
      <c r="AP9" s="1434"/>
      <c r="AQ9" s="1434"/>
      <c r="AR9" s="1434"/>
      <c r="AS9" s="1434"/>
      <c r="AT9" s="1434"/>
      <c r="AU9" s="1434"/>
      <c r="AY9" s="1433"/>
      <c r="BC9" s="1433"/>
      <c r="BG9" s="1432"/>
      <c r="BH9" s="1447"/>
      <c r="BI9" s="1447"/>
      <c r="BJ9" s="1447"/>
      <c r="BK9" s="1447"/>
      <c r="BL9" s="1449"/>
      <c r="BM9" s="1447"/>
      <c r="BN9" s="1447"/>
      <c r="BP9" s="1433"/>
      <c r="BT9" s="1433"/>
      <c r="BV9" s="1458" t="s">
        <v>283</v>
      </c>
      <c r="BW9" s="1459"/>
      <c r="BX9" s="1459"/>
      <c r="BY9" s="1459"/>
      <c r="BZ9" s="1459"/>
      <c r="CA9" s="1459"/>
      <c r="CB9" s="1459"/>
      <c r="CC9" s="1459"/>
      <c r="CD9" s="1459"/>
      <c r="CE9" s="1459"/>
      <c r="CF9" s="1460"/>
      <c r="CH9" s="1433"/>
      <c r="CL9" s="1433"/>
      <c r="CP9" s="1433"/>
      <c r="CT9" s="1433"/>
      <c r="CX9" s="1438"/>
      <c r="CY9" s="1438"/>
      <c r="CZ9" s="1438"/>
      <c r="DA9" s="1438"/>
      <c r="DB9" s="1438"/>
      <c r="DC9" s="1438"/>
      <c r="DD9" s="1438"/>
      <c r="DE9" s="1438"/>
      <c r="DF9" s="1438"/>
      <c r="DG9" s="1438"/>
      <c r="DH9" s="1438"/>
      <c r="DI9" s="1438"/>
      <c r="DJ9" s="1438"/>
      <c r="DK9" s="1438"/>
      <c r="DL9" s="1438"/>
      <c r="DM9" s="1438"/>
      <c r="DN9" s="1438"/>
      <c r="DO9" s="1438"/>
      <c r="DP9" s="1438"/>
      <c r="DQ9" s="1438"/>
      <c r="DR9" s="1438"/>
      <c r="DS9" s="1438"/>
      <c r="DT9" s="1438"/>
      <c r="DU9" s="1438"/>
      <c r="DV9" s="1438"/>
      <c r="DW9" s="1438"/>
      <c r="DX9" s="1438"/>
      <c r="DY9" s="1438"/>
      <c r="DZ9" s="1438"/>
      <c r="EA9" s="1438"/>
      <c r="EB9" s="1438"/>
      <c r="EC9" s="1439"/>
      <c r="EH9" s="1433"/>
      <c r="EI9" s="1496"/>
      <c r="EJ9" s="1479"/>
      <c r="EK9" s="1479"/>
      <c r="EL9" s="1479"/>
      <c r="EM9" s="1479"/>
      <c r="EN9" s="1479"/>
      <c r="EO9" s="1479"/>
      <c r="EP9" s="1479"/>
      <c r="EQ9" s="1479"/>
      <c r="ER9" s="1479"/>
      <c r="ES9" s="1479"/>
      <c r="ET9" s="1479"/>
      <c r="EU9" s="1479"/>
      <c r="EV9" s="1479"/>
      <c r="EW9" s="1479"/>
      <c r="EX9" s="1480"/>
      <c r="EY9" s="1433"/>
      <c r="FC9" s="1433"/>
      <c r="FG9" s="1432"/>
      <c r="FL9" s="1433"/>
      <c r="FP9" s="1433"/>
      <c r="FT9" s="1433"/>
      <c r="FU9" s="1481"/>
      <c r="FV9" s="1482"/>
      <c r="FW9" s="1482"/>
      <c r="FX9" s="1482"/>
      <c r="FY9" s="1482"/>
      <c r="FZ9" s="1482"/>
      <c r="GA9" s="1482"/>
      <c r="GB9" s="1482"/>
      <c r="GC9" s="1482"/>
      <c r="GD9" s="1482"/>
      <c r="GE9" s="1482"/>
      <c r="GF9" s="1482"/>
      <c r="GG9" s="1482"/>
      <c r="GH9" s="1482"/>
      <c r="GI9" s="1482"/>
      <c r="GJ9" s="1482"/>
      <c r="GK9" s="1482"/>
      <c r="GL9" s="1482"/>
      <c r="GM9" s="1482"/>
      <c r="GN9" s="1482"/>
      <c r="GO9" s="1482"/>
      <c r="GP9" s="1482"/>
      <c r="GQ9" s="1482"/>
      <c r="GR9" s="1482"/>
      <c r="GS9" s="1482"/>
      <c r="GT9" s="1482"/>
      <c r="GU9" s="1482"/>
      <c r="GV9" s="1482"/>
      <c r="GW9" s="1482"/>
      <c r="GX9" s="1482"/>
      <c r="GY9" s="1482"/>
      <c r="GZ9" s="1482"/>
      <c r="HA9" s="1482"/>
      <c r="HB9" s="1482"/>
      <c r="HC9" s="1482"/>
      <c r="HD9" s="1482"/>
      <c r="HE9" s="1482"/>
      <c r="HF9" s="1482"/>
      <c r="HG9" s="1482"/>
      <c r="HH9" s="1482"/>
      <c r="HI9" s="1482"/>
      <c r="HJ9" s="1482"/>
      <c r="HK9" s="1482"/>
      <c r="HL9" s="1482"/>
      <c r="HM9" s="1482"/>
      <c r="HN9" s="1482"/>
      <c r="HO9" s="1482"/>
      <c r="HP9" s="1482"/>
      <c r="HQ9" s="1482"/>
      <c r="HR9" s="1483"/>
      <c r="HT9" s="1433"/>
      <c r="HW9" s="1441"/>
      <c r="HX9" s="1442"/>
      <c r="HY9" s="1442"/>
      <c r="HZ9" s="1442"/>
      <c r="IA9" s="1442"/>
      <c r="IB9" s="1442"/>
      <c r="IC9" s="1442"/>
      <c r="ID9" s="1442"/>
      <c r="IE9" s="1442"/>
      <c r="IF9" s="1442"/>
      <c r="IG9" s="1442"/>
      <c r="IH9" s="1442"/>
      <c r="II9" s="1442"/>
      <c r="IJ9" s="1442"/>
      <c r="IK9" s="1442"/>
      <c r="IL9" s="1442"/>
      <c r="IM9" s="1442"/>
      <c r="IN9" s="1442"/>
      <c r="IO9" s="1442"/>
      <c r="IP9" s="1442"/>
      <c r="IQ9" s="1442"/>
      <c r="IR9" s="1442"/>
      <c r="IS9" s="1442"/>
      <c r="IT9" s="1442"/>
      <c r="IU9" s="1443"/>
      <c r="IX9" s="1438"/>
      <c r="IY9" s="1438"/>
      <c r="IZ9" s="1438"/>
      <c r="JA9" s="1438"/>
      <c r="JB9" s="1438"/>
      <c r="JC9" s="1438"/>
      <c r="JD9" s="1438"/>
      <c r="JE9" s="1438"/>
      <c r="JF9" s="1438"/>
      <c r="JG9" s="1438"/>
      <c r="JH9" s="1438"/>
      <c r="JI9" s="1438"/>
      <c r="JJ9" s="1438"/>
      <c r="JK9" s="1438"/>
      <c r="JL9" s="1438"/>
      <c r="JM9" s="1438"/>
      <c r="JN9" s="1438"/>
      <c r="JO9" s="1438"/>
      <c r="JP9" s="1438"/>
      <c r="JQ9" s="1438"/>
      <c r="JR9" s="1438"/>
      <c r="JS9" s="1438"/>
      <c r="JT9" s="1438"/>
      <c r="JU9" s="1438"/>
      <c r="JV9" s="1438"/>
      <c r="JW9" s="1438"/>
      <c r="JX9" s="1438"/>
      <c r="JY9" s="1438"/>
      <c r="JZ9" s="1438"/>
      <c r="KA9" s="1438"/>
      <c r="KC9" s="1433"/>
      <c r="KH9" s="1458" t="s">
        <v>291</v>
      </c>
      <c r="KI9" s="1459"/>
      <c r="KJ9" s="1459"/>
      <c r="KK9" s="1459"/>
      <c r="KL9" s="1459"/>
      <c r="KM9" s="1459"/>
      <c r="KN9" s="1459"/>
      <c r="KO9" s="1459"/>
      <c r="KP9" s="1459"/>
      <c r="KQ9" s="1459"/>
      <c r="KR9" s="1459"/>
      <c r="KS9" s="1459"/>
      <c r="KT9" s="1459"/>
      <c r="KU9" s="1459"/>
      <c r="KV9" s="1459"/>
      <c r="KW9" s="1459"/>
      <c r="KX9" s="1459"/>
      <c r="KY9" s="1460"/>
      <c r="LC9" s="1433"/>
      <c r="LG9" s="1432"/>
      <c r="LL9" s="1433"/>
      <c r="LP9" s="1433"/>
      <c r="LT9" s="1433"/>
      <c r="LY9" s="1433"/>
      <c r="MC9" s="1433"/>
      <c r="MH9" s="1433"/>
      <c r="MK9" s="1497" t="s">
        <v>320</v>
      </c>
      <c r="ML9" s="1498"/>
      <c r="MM9" s="1498"/>
      <c r="MN9" s="1498"/>
      <c r="MO9" s="1498"/>
      <c r="MP9" s="1498"/>
      <c r="MQ9" s="1498"/>
      <c r="MR9" s="1498"/>
      <c r="MS9" s="1499"/>
      <c r="MT9" s="1433"/>
      <c r="MY9" s="1433"/>
      <c r="NB9" s="1438"/>
      <c r="NC9" s="1438"/>
      <c r="ND9" s="1438"/>
      <c r="NE9" s="1438"/>
      <c r="NF9" s="1438"/>
      <c r="NG9" s="1438"/>
      <c r="NH9" s="1438"/>
      <c r="NI9" s="1438"/>
      <c r="NJ9" s="1438"/>
      <c r="NK9" s="1438"/>
      <c r="NL9" s="1438"/>
      <c r="NM9" s="1438"/>
      <c r="NN9" s="1438"/>
      <c r="NO9" s="1438"/>
      <c r="NP9" s="1438"/>
      <c r="NQ9" s="1438"/>
      <c r="NR9" s="1438"/>
      <c r="NS9" s="1438"/>
      <c r="NT9" s="1438"/>
      <c r="NU9" s="1438"/>
      <c r="NV9" s="1438"/>
      <c r="NW9" s="1438"/>
      <c r="NX9" s="1438"/>
      <c r="NY9" s="1438"/>
      <c r="NZ9" s="1438"/>
      <c r="OA9" s="1438"/>
      <c r="OB9" s="1438"/>
      <c r="OC9" s="1438"/>
      <c r="OD9" s="1438"/>
      <c r="OE9" s="1438"/>
      <c r="OF9" s="1438"/>
      <c r="OG9" s="1438"/>
      <c r="OH9" s="1439"/>
      <c r="OI9" s="1440"/>
      <c r="OM9" s="1487"/>
      <c r="ON9" s="1488"/>
      <c r="OO9" s="1488"/>
      <c r="OP9" s="1488"/>
      <c r="OQ9" s="1488"/>
      <c r="OR9" s="1488"/>
      <c r="OS9" s="1488"/>
      <c r="OT9" s="1488"/>
      <c r="OU9" s="1488"/>
      <c r="OV9" s="1488"/>
      <c r="OW9" s="1488"/>
      <c r="OX9" s="1488"/>
      <c r="OY9" s="1488"/>
      <c r="OZ9" s="1488"/>
      <c r="PA9" s="1488"/>
      <c r="PB9" s="1488"/>
      <c r="PC9" s="1488"/>
      <c r="PD9" s="1488"/>
      <c r="PE9" s="1488"/>
      <c r="PF9" s="1488"/>
      <c r="PG9" s="1488"/>
      <c r="PH9" s="1488"/>
      <c r="PI9" s="1488"/>
      <c r="PJ9" s="1488"/>
      <c r="PK9" s="1488"/>
      <c r="PL9" s="1488"/>
      <c r="PM9" s="1488"/>
      <c r="PN9" s="1488"/>
      <c r="PO9" s="1488"/>
      <c r="PP9" s="1488"/>
      <c r="PQ9" s="1489"/>
      <c r="PS9" s="1490"/>
      <c r="PT9" s="1433"/>
      <c r="PW9" s="1434"/>
      <c r="PX9" s="1434"/>
      <c r="PY9" s="1434"/>
      <c r="PZ9" s="1434"/>
      <c r="QA9" s="1434"/>
      <c r="QB9" s="1434"/>
      <c r="QC9" s="1434"/>
      <c r="QD9" s="1434"/>
      <c r="QE9" s="1434"/>
      <c r="QF9" s="1434"/>
      <c r="QG9" s="1434"/>
      <c r="QH9" s="1434"/>
      <c r="QI9" s="1434"/>
      <c r="QJ9" s="1434"/>
      <c r="QK9" s="1434"/>
      <c r="QL9" s="1434"/>
      <c r="QM9" s="1434"/>
      <c r="QN9" s="1434"/>
      <c r="QO9" s="1434"/>
      <c r="QP9" s="1434"/>
      <c r="QQ9" s="1434"/>
      <c r="QR9" s="1434"/>
      <c r="QS9" s="1434"/>
      <c r="QT9" s="1434"/>
      <c r="QU9" s="1434"/>
      <c r="QY9" s="1433"/>
      <c r="RC9" s="1433"/>
      <c r="RG9" s="1432"/>
    </row>
    <row r="10" spans="1:475" s="1431" customFormat="1" ht="19.899999999999999" customHeight="1" x14ac:dyDescent="0.25">
      <c r="B10" s="1575"/>
      <c r="C10" s="1457">
        <f t="shared" si="0"/>
        <v>6</v>
      </c>
      <c r="D10" s="1446"/>
      <c r="E10" s="1447"/>
      <c r="F10" s="1447"/>
      <c r="G10" s="1448"/>
      <c r="H10" s="1447"/>
      <c r="I10" s="1447"/>
      <c r="J10" s="1447"/>
      <c r="K10" s="1447"/>
      <c r="L10" s="1449"/>
      <c r="M10" s="1447"/>
      <c r="N10" s="1447"/>
      <c r="P10" s="1433"/>
      <c r="T10" s="1433"/>
      <c r="U10" s="1450"/>
      <c r="V10" s="1447"/>
      <c r="W10" s="1434"/>
      <c r="X10" s="1434"/>
      <c r="Y10" s="1434"/>
      <c r="Z10" s="1434"/>
      <c r="AA10" s="1434"/>
      <c r="AB10" s="1434"/>
      <c r="AC10" s="1434"/>
      <c r="AD10" s="1434"/>
      <c r="AE10" s="1434"/>
      <c r="AF10" s="1434"/>
      <c r="AG10" s="1434"/>
      <c r="AH10" s="1434"/>
      <c r="AI10" s="1434"/>
      <c r="AJ10" s="1434"/>
      <c r="AK10" s="1434"/>
      <c r="AL10" s="1434"/>
      <c r="AM10" s="1434"/>
      <c r="AN10" s="1434"/>
      <c r="AO10" s="1434"/>
      <c r="AP10" s="1434"/>
      <c r="AQ10" s="1434"/>
      <c r="AR10" s="1434"/>
      <c r="AS10" s="1434"/>
      <c r="AT10" s="1434"/>
      <c r="AU10" s="1434"/>
      <c r="AY10" s="1433"/>
      <c r="BC10" s="1433"/>
      <c r="BG10" s="1432"/>
      <c r="BH10" s="1447"/>
      <c r="BI10" s="1447"/>
      <c r="BJ10" s="1447"/>
      <c r="BK10" s="1447"/>
      <c r="BL10" s="1449"/>
      <c r="BM10" s="1447"/>
      <c r="BN10" s="1447"/>
      <c r="BP10" s="1433"/>
      <c r="BS10" s="1458" t="s">
        <v>284</v>
      </c>
      <c r="BT10" s="1459"/>
      <c r="BU10" s="1459"/>
      <c r="BV10" s="1459"/>
      <c r="BW10" s="1459"/>
      <c r="BX10" s="1459"/>
      <c r="BY10" s="1459"/>
      <c r="BZ10" s="1459"/>
      <c r="CA10" s="1459"/>
      <c r="CB10" s="1459"/>
      <c r="CC10" s="1459"/>
      <c r="CD10" s="1459"/>
      <c r="CE10" s="1459"/>
      <c r="CF10" s="1459"/>
      <c r="CG10" s="1460"/>
      <c r="CH10" s="1433"/>
      <c r="CL10" s="1433"/>
      <c r="CP10" s="1433"/>
      <c r="CT10" s="1433"/>
      <c r="CX10" s="1438"/>
      <c r="CY10" s="1438"/>
      <c r="CZ10" s="1438"/>
      <c r="DA10" s="1438"/>
      <c r="DB10" s="1438"/>
      <c r="DC10" s="1438"/>
      <c r="DD10" s="1438"/>
      <c r="DE10" s="1438"/>
      <c r="DF10" s="1438"/>
      <c r="DG10" s="1438"/>
      <c r="DH10" s="1438"/>
      <c r="DI10" s="1438"/>
      <c r="DJ10" s="1438"/>
      <c r="DK10" s="1438"/>
      <c r="DL10" s="1438"/>
      <c r="DM10" s="1438"/>
      <c r="DN10" s="1438"/>
      <c r="DO10" s="1438"/>
      <c r="DP10" s="1438"/>
      <c r="DQ10" s="1438"/>
      <c r="DR10" s="1438"/>
      <c r="DS10" s="1438"/>
      <c r="DT10" s="1438"/>
      <c r="DU10" s="1438"/>
      <c r="DV10" s="1438"/>
      <c r="DW10" s="1438"/>
      <c r="DX10" s="1438"/>
      <c r="DY10" s="1438"/>
      <c r="DZ10" s="1438"/>
      <c r="EA10" s="1438"/>
      <c r="EB10" s="1438"/>
      <c r="EC10" s="1439"/>
      <c r="EH10" s="1433"/>
      <c r="EJ10" s="1461" t="s">
        <v>307</v>
      </c>
      <c r="EK10" s="1462"/>
      <c r="EL10" s="1462"/>
      <c r="EM10" s="1462"/>
      <c r="EN10" s="1462"/>
      <c r="EO10" s="1462"/>
      <c r="EP10" s="1462"/>
      <c r="EQ10" s="1462"/>
      <c r="ER10" s="1462"/>
      <c r="ES10" s="1462"/>
      <c r="ET10" s="1462"/>
      <c r="EU10" s="1462"/>
      <c r="EV10" s="1462"/>
      <c r="EW10" s="1462"/>
      <c r="EX10" s="1462"/>
      <c r="EY10" s="1463"/>
      <c r="FC10" s="1433"/>
      <c r="FG10" s="1432"/>
      <c r="FL10" s="1433"/>
      <c r="FP10" s="1433"/>
      <c r="FT10" s="1433"/>
      <c r="FU10" s="1481"/>
      <c r="FV10" s="1482"/>
      <c r="FW10" s="1482"/>
      <c r="FX10" s="1482"/>
      <c r="FY10" s="1482"/>
      <c r="FZ10" s="1482"/>
      <c r="GA10" s="1482"/>
      <c r="GB10" s="1482"/>
      <c r="GC10" s="1482"/>
      <c r="GD10" s="1482"/>
      <c r="GE10" s="1482"/>
      <c r="GF10" s="1482"/>
      <c r="GG10" s="1482"/>
      <c r="GH10" s="1482"/>
      <c r="GI10" s="1482"/>
      <c r="GJ10" s="1482"/>
      <c r="GK10" s="1482"/>
      <c r="GL10" s="1482"/>
      <c r="GM10" s="1482"/>
      <c r="GN10" s="1482"/>
      <c r="GO10" s="1482"/>
      <c r="GP10" s="1482"/>
      <c r="GQ10" s="1482"/>
      <c r="GR10" s="1482"/>
      <c r="GS10" s="1482"/>
      <c r="GT10" s="1482"/>
      <c r="GU10" s="1482"/>
      <c r="GV10" s="1482"/>
      <c r="GW10" s="1482"/>
      <c r="GX10" s="1482"/>
      <c r="GY10" s="1482"/>
      <c r="GZ10" s="1482"/>
      <c r="HA10" s="1482"/>
      <c r="HB10" s="1482"/>
      <c r="HC10" s="1482"/>
      <c r="HD10" s="1482"/>
      <c r="HE10" s="1482"/>
      <c r="HF10" s="1482"/>
      <c r="HG10" s="1482"/>
      <c r="HH10" s="1482"/>
      <c r="HI10" s="1482"/>
      <c r="HJ10" s="1482"/>
      <c r="HK10" s="1482"/>
      <c r="HL10" s="1482"/>
      <c r="HM10" s="1482"/>
      <c r="HN10" s="1482"/>
      <c r="HO10" s="1482"/>
      <c r="HP10" s="1482"/>
      <c r="HQ10" s="1482"/>
      <c r="HR10" s="1483"/>
      <c r="HT10" s="1433"/>
      <c r="HW10" s="1441"/>
      <c r="HX10" s="1442"/>
      <c r="HY10" s="1442"/>
      <c r="HZ10" s="1442"/>
      <c r="IA10" s="1442"/>
      <c r="IB10" s="1442"/>
      <c r="IC10" s="1442"/>
      <c r="ID10" s="1442"/>
      <c r="IE10" s="1442"/>
      <c r="IF10" s="1442"/>
      <c r="IG10" s="1442"/>
      <c r="IH10" s="1442"/>
      <c r="II10" s="1442"/>
      <c r="IJ10" s="1442"/>
      <c r="IK10" s="1442"/>
      <c r="IL10" s="1442"/>
      <c r="IM10" s="1442"/>
      <c r="IN10" s="1442"/>
      <c r="IO10" s="1442"/>
      <c r="IP10" s="1442"/>
      <c r="IQ10" s="1442"/>
      <c r="IR10" s="1442"/>
      <c r="IS10" s="1442"/>
      <c r="IT10" s="1442"/>
      <c r="IU10" s="1443"/>
      <c r="IX10" s="1438"/>
      <c r="IY10" s="1438"/>
      <c r="IZ10" s="1438"/>
      <c r="JA10" s="1438"/>
      <c r="JB10" s="1438"/>
      <c r="JC10" s="1438"/>
      <c r="JD10" s="1438"/>
      <c r="JE10" s="1438"/>
      <c r="JF10" s="1438"/>
      <c r="JG10" s="1438"/>
      <c r="JH10" s="1438"/>
      <c r="JI10" s="1438"/>
      <c r="JJ10" s="1438"/>
      <c r="JK10" s="1438"/>
      <c r="JL10" s="1438"/>
      <c r="JM10" s="1438"/>
      <c r="JN10" s="1438"/>
      <c r="JO10" s="1438"/>
      <c r="JP10" s="1438"/>
      <c r="JQ10" s="1438"/>
      <c r="JR10" s="1438"/>
      <c r="JS10" s="1438"/>
      <c r="JT10" s="1438"/>
      <c r="JU10" s="1438"/>
      <c r="JV10" s="1438"/>
      <c r="JW10" s="1438"/>
      <c r="JX10" s="1438"/>
      <c r="JY10" s="1438"/>
      <c r="JZ10" s="1438"/>
      <c r="KA10" s="1438"/>
      <c r="KC10" s="1433"/>
      <c r="KH10" s="1475"/>
      <c r="KI10" s="1476"/>
      <c r="KJ10" s="1476"/>
      <c r="KK10" s="1476"/>
      <c r="KL10" s="1476"/>
      <c r="KM10" s="1476"/>
      <c r="KN10" s="1476"/>
      <c r="KO10" s="1476"/>
      <c r="KP10" s="1476"/>
      <c r="KQ10" s="1476"/>
      <c r="KR10" s="1476"/>
      <c r="KS10" s="1476"/>
      <c r="KT10" s="1476"/>
      <c r="KU10" s="1476"/>
      <c r="KV10" s="1476"/>
      <c r="KW10" s="1476"/>
      <c r="KX10" s="1476"/>
      <c r="KY10" s="1477"/>
      <c r="LC10" s="1433"/>
      <c r="LG10" s="1432"/>
      <c r="LL10" s="1433"/>
      <c r="LP10" s="1433"/>
      <c r="LT10" s="1433"/>
      <c r="LY10" s="1433"/>
      <c r="MC10" s="1433"/>
      <c r="MH10" s="1433"/>
      <c r="MK10" s="1500"/>
      <c r="ML10" s="1501"/>
      <c r="MM10" s="1501"/>
      <c r="MN10" s="1501"/>
      <c r="MO10" s="1501"/>
      <c r="MP10" s="1501"/>
      <c r="MQ10" s="1501"/>
      <c r="MR10" s="1501"/>
      <c r="MS10" s="1502"/>
      <c r="MT10" s="1433"/>
      <c r="MY10" s="1433"/>
      <c r="NB10" s="1438"/>
      <c r="NC10" s="1438"/>
      <c r="ND10" s="1438"/>
      <c r="NE10" s="1438"/>
      <c r="NF10" s="1438"/>
      <c r="NG10" s="1438"/>
      <c r="NH10" s="1438"/>
      <c r="NI10" s="1438"/>
      <c r="NJ10" s="1438"/>
      <c r="NK10" s="1438"/>
      <c r="NL10" s="1438"/>
      <c r="NM10" s="1438"/>
      <c r="NN10" s="1438"/>
      <c r="NO10" s="1438"/>
      <c r="NP10" s="1438"/>
      <c r="NQ10" s="1438"/>
      <c r="NR10" s="1438"/>
      <c r="NS10" s="1438"/>
      <c r="NT10" s="1438"/>
      <c r="NU10" s="1438"/>
      <c r="NV10" s="1438"/>
      <c r="NW10" s="1438"/>
      <c r="NX10" s="1438"/>
      <c r="NY10" s="1438"/>
      <c r="NZ10" s="1438"/>
      <c r="OA10" s="1438"/>
      <c r="OB10" s="1438"/>
      <c r="OC10" s="1438"/>
      <c r="OD10" s="1438"/>
      <c r="OE10" s="1438"/>
      <c r="OF10" s="1438"/>
      <c r="OG10" s="1438"/>
      <c r="OH10" s="1439"/>
      <c r="OI10" s="1440"/>
      <c r="OM10" s="1487"/>
      <c r="ON10" s="1488"/>
      <c r="OO10" s="1488"/>
      <c r="OP10" s="1488"/>
      <c r="OQ10" s="1488"/>
      <c r="OR10" s="1488"/>
      <c r="OS10" s="1488"/>
      <c r="OT10" s="1488"/>
      <c r="OU10" s="1488"/>
      <c r="OV10" s="1488"/>
      <c r="OW10" s="1488"/>
      <c r="OX10" s="1488"/>
      <c r="OY10" s="1488"/>
      <c r="OZ10" s="1488"/>
      <c r="PA10" s="1488"/>
      <c r="PB10" s="1488"/>
      <c r="PC10" s="1488"/>
      <c r="PD10" s="1488"/>
      <c r="PE10" s="1488"/>
      <c r="PF10" s="1488"/>
      <c r="PG10" s="1488"/>
      <c r="PH10" s="1488"/>
      <c r="PI10" s="1488"/>
      <c r="PJ10" s="1488"/>
      <c r="PK10" s="1488"/>
      <c r="PL10" s="1488"/>
      <c r="PM10" s="1488"/>
      <c r="PN10" s="1488"/>
      <c r="PO10" s="1488"/>
      <c r="PP10" s="1488"/>
      <c r="PQ10" s="1489"/>
      <c r="PS10" s="1490"/>
      <c r="PT10" s="1433"/>
      <c r="PW10" s="1434"/>
      <c r="PX10" s="1434"/>
      <c r="PY10" s="1434"/>
      <c r="PZ10" s="1434"/>
      <c r="QA10" s="1434"/>
      <c r="QB10" s="1434"/>
      <c r="QC10" s="1434"/>
      <c r="QD10" s="1434"/>
      <c r="QE10" s="1434"/>
      <c r="QF10" s="1434"/>
      <c r="QG10" s="1434"/>
      <c r="QH10" s="1434"/>
      <c r="QI10" s="1434"/>
      <c r="QJ10" s="1434"/>
      <c r="QK10" s="1434"/>
      <c r="QL10" s="1434"/>
      <c r="QM10" s="1434"/>
      <c r="QN10" s="1434"/>
      <c r="QO10" s="1434"/>
      <c r="QP10" s="1434"/>
      <c r="QQ10" s="1434"/>
      <c r="QR10" s="1434"/>
      <c r="QS10" s="1434"/>
      <c r="QT10" s="1434"/>
      <c r="QU10" s="1434"/>
      <c r="QY10" s="1433"/>
      <c r="RC10" s="1433"/>
      <c r="RG10" s="1432"/>
    </row>
    <row r="11" spans="1:475" s="1431" customFormat="1" ht="19.899999999999999" customHeight="1" x14ac:dyDescent="0.25">
      <c r="B11" s="1575"/>
      <c r="C11" s="1457">
        <f t="shared" si="0"/>
        <v>7</v>
      </c>
      <c r="D11" s="1430"/>
      <c r="G11" s="1432"/>
      <c r="L11" s="1433"/>
      <c r="P11" s="1433"/>
      <c r="T11" s="1433"/>
      <c r="W11" s="1434"/>
      <c r="X11" s="1434"/>
      <c r="Y11" s="1434"/>
      <c r="Z11" s="1434"/>
      <c r="AA11" s="1434"/>
      <c r="AB11" s="1434"/>
      <c r="AC11" s="1434"/>
      <c r="AD11" s="1434"/>
      <c r="AE11" s="1434"/>
      <c r="AF11" s="1434"/>
      <c r="AG11" s="1434"/>
      <c r="AH11" s="1434"/>
      <c r="AI11" s="1434"/>
      <c r="AJ11" s="1434"/>
      <c r="AK11" s="1434"/>
      <c r="AL11" s="1434"/>
      <c r="AM11" s="1434"/>
      <c r="AN11" s="1434"/>
      <c r="AO11" s="1434"/>
      <c r="AP11" s="1434"/>
      <c r="AQ11" s="1434"/>
      <c r="AR11" s="1434"/>
      <c r="AS11" s="1434"/>
      <c r="AT11" s="1434"/>
      <c r="AU11" s="1434"/>
      <c r="AY11" s="1433"/>
      <c r="BC11" s="1433"/>
      <c r="BG11" s="1432"/>
      <c r="BL11" s="1433"/>
      <c r="BP11" s="1433"/>
      <c r="BS11" s="1491"/>
      <c r="BT11" s="1492"/>
      <c r="BU11" s="1492"/>
      <c r="BV11" s="1492"/>
      <c r="BW11" s="1492"/>
      <c r="BX11" s="1492"/>
      <c r="BY11" s="1492"/>
      <c r="BZ11" s="1492"/>
      <c r="CA11" s="1492"/>
      <c r="CB11" s="1492"/>
      <c r="CC11" s="1492"/>
      <c r="CD11" s="1492"/>
      <c r="CE11" s="1492"/>
      <c r="CF11" s="1492"/>
      <c r="CG11" s="1503"/>
      <c r="CH11" s="1433"/>
      <c r="CI11" s="1504"/>
      <c r="CL11" s="1433"/>
      <c r="CM11" s="1504"/>
      <c r="CP11" s="1433"/>
      <c r="CQ11" s="1504"/>
      <c r="CT11" s="1433"/>
      <c r="CU11" s="1504"/>
      <c r="CX11" s="1438"/>
      <c r="CY11" s="1438"/>
      <c r="CZ11" s="1438"/>
      <c r="DA11" s="1438"/>
      <c r="DB11" s="1438"/>
      <c r="DC11" s="1438"/>
      <c r="DD11" s="1438"/>
      <c r="DE11" s="1438"/>
      <c r="DF11" s="1438"/>
      <c r="DG11" s="1438"/>
      <c r="DH11" s="1438"/>
      <c r="DI11" s="1438"/>
      <c r="DJ11" s="1438"/>
      <c r="DK11" s="1438"/>
      <c r="DL11" s="1438"/>
      <c r="DM11" s="1438"/>
      <c r="DN11" s="1438"/>
      <c r="DO11" s="1438"/>
      <c r="DP11" s="1438"/>
      <c r="DQ11" s="1438"/>
      <c r="DR11" s="1438"/>
      <c r="DS11" s="1438"/>
      <c r="DT11" s="1438"/>
      <c r="DU11" s="1438"/>
      <c r="DV11" s="1438"/>
      <c r="DW11" s="1438"/>
      <c r="DX11" s="1438"/>
      <c r="DY11" s="1438"/>
      <c r="DZ11" s="1438"/>
      <c r="EA11" s="1438"/>
      <c r="EB11" s="1438"/>
      <c r="EC11" s="1439"/>
      <c r="EH11" s="1433"/>
      <c r="EJ11" s="1478"/>
      <c r="EK11" s="1479"/>
      <c r="EL11" s="1479"/>
      <c r="EM11" s="1479"/>
      <c r="EN11" s="1479"/>
      <c r="EO11" s="1479"/>
      <c r="EP11" s="1479"/>
      <c r="EQ11" s="1479"/>
      <c r="ER11" s="1479"/>
      <c r="ES11" s="1479"/>
      <c r="ET11" s="1479"/>
      <c r="EU11" s="1479"/>
      <c r="EV11" s="1479"/>
      <c r="EW11" s="1479"/>
      <c r="EX11" s="1479"/>
      <c r="EY11" s="1480"/>
      <c r="FC11" s="1433"/>
      <c r="FG11" s="1432"/>
      <c r="FL11" s="1433"/>
      <c r="FP11" s="1433"/>
      <c r="FT11" s="1433"/>
      <c r="FU11" s="1481"/>
      <c r="FV11" s="1482"/>
      <c r="FW11" s="1482"/>
      <c r="FX11" s="1482"/>
      <c r="FY11" s="1482"/>
      <c r="FZ11" s="1482"/>
      <c r="GA11" s="1482"/>
      <c r="GB11" s="1482"/>
      <c r="GC11" s="1482"/>
      <c r="GD11" s="1482"/>
      <c r="GE11" s="1482"/>
      <c r="GF11" s="1482"/>
      <c r="GG11" s="1482"/>
      <c r="GH11" s="1482"/>
      <c r="GI11" s="1482"/>
      <c r="GJ11" s="1482"/>
      <c r="GK11" s="1482"/>
      <c r="GL11" s="1482"/>
      <c r="GM11" s="1482"/>
      <c r="GN11" s="1482"/>
      <c r="GO11" s="1482"/>
      <c r="GP11" s="1482"/>
      <c r="GQ11" s="1482"/>
      <c r="GR11" s="1482"/>
      <c r="GS11" s="1482"/>
      <c r="GT11" s="1482"/>
      <c r="GU11" s="1482"/>
      <c r="GV11" s="1482"/>
      <c r="GW11" s="1482"/>
      <c r="GX11" s="1482"/>
      <c r="GY11" s="1482"/>
      <c r="GZ11" s="1482"/>
      <c r="HA11" s="1482"/>
      <c r="HB11" s="1482"/>
      <c r="HC11" s="1482"/>
      <c r="HD11" s="1482"/>
      <c r="HE11" s="1482"/>
      <c r="HF11" s="1482"/>
      <c r="HG11" s="1482"/>
      <c r="HH11" s="1482"/>
      <c r="HI11" s="1482"/>
      <c r="HJ11" s="1482"/>
      <c r="HK11" s="1482"/>
      <c r="HL11" s="1482"/>
      <c r="HM11" s="1482"/>
      <c r="HN11" s="1482"/>
      <c r="HO11" s="1482"/>
      <c r="HP11" s="1482"/>
      <c r="HQ11" s="1482"/>
      <c r="HR11" s="1483"/>
      <c r="HT11" s="1433"/>
      <c r="HW11" s="1441"/>
      <c r="HX11" s="1442"/>
      <c r="HY11" s="1442"/>
      <c r="HZ11" s="1442"/>
      <c r="IA11" s="1442"/>
      <c r="IB11" s="1442"/>
      <c r="IC11" s="1442"/>
      <c r="ID11" s="1442"/>
      <c r="IE11" s="1442"/>
      <c r="IF11" s="1442"/>
      <c r="IG11" s="1442"/>
      <c r="IH11" s="1442"/>
      <c r="II11" s="1442"/>
      <c r="IJ11" s="1442"/>
      <c r="IK11" s="1442"/>
      <c r="IL11" s="1442"/>
      <c r="IM11" s="1442"/>
      <c r="IN11" s="1442"/>
      <c r="IO11" s="1442"/>
      <c r="IP11" s="1442"/>
      <c r="IQ11" s="1442"/>
      <c r="IR11" s="1442"/>
      <c r="IS11" s="1442"/>
      <c r="IT11" s="1442"/>
      <c r="IU11" s="1443"/>
      <c r="IX11" s="1438"/>
      <c r="IY11" s="1438"/>
      <c r="IZ11" s="1438"/>
      <c r="JA11" s="1438"/>
      <c r="JB11" s="1438"/>
      <c r="JC11" s="1438"/>
      <c r="JD11" s="1438"/>
      <c r="JE11" s="1438"/>
      <c r="JF11" s="1438"/>
      <c r="JG11" s="1438"/>
      <c r="JH11" s="1438"/>
      <c r="JI11" s="1438"/>
      <c r="JJ11" s="1438"/>
      <c r="JK11" s="1438"/>
      <c r="JL11" s="1438"/>
      <c r="JM11" s="1438"/>
      <c r="JN11" s="1438"/>
      <c r="JO11" s="1438"/>
      <c r="JP11" s="1438"/>
      <c r="JQ11" s="1438"/>
      <c r="JR11" s="1438"/>
      <c r="JS11" s="1438"/>
      <c r="JT11" s="1438"/>
      <c r="JU11" s="1438"/>
      <c r="JV11" s="1438"/>
      <c r="JW11" s="1438"/>
      <c r="JX11" s="1438"/>
      <c r="JY11" s="1438"/>
      <c r="JZ11" s="1438"/>
      <c r="KA11" s="1438"/>
      <c r="KC11" s="1433"/>
      <c r="KH11" s="1491"/>
      <c r="KI11" s="1492"/>
      <c r="KJ11" s="1492"/>
      <c r="KK11" s="1492"/>
      <c r="KL11" s="1492"/>
      <c r="KM11" s="1492"/>
      <c r="KN11" s="1492"/>
      <c r="KO11" s="1492"/>
      <c r="KP11" s="1492"/>
      <c r="KQ11" s="1492"/>
      <c r="KR11" s="1492"/>
      <c r="KS11" s="1492"/>
      <c r="KT11" s="1492"/>
      <c r="KU11" s="1492"/>
      <c r="KV11" s="1492"/>
      <c r="KW11" s="1492"/>
      <c r="KX11" s="1492"/>
      <c r="KY11" s="1503"/>
      <c r="LC11" s="1433"/>
      <c r="LG11" s="1432"/>
      <c r="LL11" s="1433"/>
      <c r="LP11" s="1433"/>
      <c r="LT11" s="1433"/>
      <c r="LY11" s="1433"/>
      <c r="MC11" s="1433"/>
      <c r="MH11" s="1433"/>
      <c r="MK11" s="1470"/>
      <c r="ML11" s="1470"/>
      <c r="MM11" s="1505"/>
      <c r="MN11" s="1470"/>
      <c r="MO11" s="1470"/>
      <c r="MP11" s="1506" t="s">
        <v>321</v>
      </c>
      <c r="MQ11" s="1507"/>
      <c r="MR11" s="1507"/>
      <c r="MS11" s="1507"/>
      <c r="MT11" s="1507"/>
      <c r="MU11" s="1507"/>
      <c r="MV11" s="1507"/>
      <c r="MW11" s="1508"/>
      <c r="MY11" s="1433"/>
      <c r="NB11" s="1438"/>
      <c r="NC11" s="1438"/>
      <c r="ND11" s="1438"/>
      <c r="NE11" s="1438"/>
      <c r="NF11" s="1438"/>
      <c r="NG11" s="1438"/>
      <c r="NH11" s="1438"/>
      <c r="NI11" s="1438"/>
      <c r="NJ11" s="1438"/>
      <c r="NK11" s="1438"/>
      <c r="NL11" s="1438"/>
      <c r="NM11" s="1438"/>
      <c r="NN11" s="1438"/>
      <c r="NO11" s="1438"/>
      <c r="NP11" s="1438"/>
      <c r="NQ11" s="1438"/>
      <c r="NR11" s="1438"/>
      <c r="NS11" s="1438"/>
      <c r="NT11" s="1438"/>
      <c r="NU11" s="1438"/>
      <c r="NV11" s="1438"/>
      <c r="NW11" s="1438"/>
      <c r="NX11" s="1438"/>
      <c r="NY11" s="1438"/>
      <c r="NZ11" s="1438"/>
      <c r="OA11" s="1438"/>
      <c r="OB11" s="1438"/>
      <c r="OC11" s="1438"/>
      <c r="OD11" s="1438"/>
      <c r="OE11" s="1438"/>
      <c r="OF11" s="1438"/>
      <c r="OG11" s="1438"/>
      <c r="OH11" s="1439"/>
      <c r="OI11" s="1440"/>
      <c r="OM11" s="1487"/>
      <c r="ON11" s="1488"/>
      <c r="OO11" s="1488"/>
      <c r="OP11" s="1488"/>
      <c r="OQ11" s="1488"/>
      <c r="OR11" s="1488"/>
      <c r="OS11" s="1488"/>
      <c r="OT11" s="1488"/>
      <c r="OU11" s="1488"/>
      <c r="OV11" s="1488"/>
      <c r="OW11" s="1488"/>
      <c r="OX11" s="1488"/>
      <c r="OY11" s="1488"/>
      <c r="OZ11" s="1488"/>
      <c r="PA11" s="1488"/>
      <c r="PB11" s="1488"/>
      <c r="PC11" s="1488"/>
      <c r="PD11" s="1488"/>
      <c r="PE11" s="1488"/>
      <c r="PF11" s="1488"/>
      <c r="PG11" s="1488"/>
      <c r="PH11" s="1488"/>
      <c r="PI11" s="1488"/>
      <c r="PJ11" s="1488"/>
      <c r="PK11" s="1488"/>
      <c r="PL11" s="1488"/>
      <c r="PM11" s="1488"/>
      <c r="PN11" s="1488"/>
      <c r="PO11" s="1488"/>
      <c r="PP11" s="1488"/>
      <c r="PQ11" s="1489"/>
      <c r="PS11" s="1490"/>
      <c r="PT11" s="1433"/>
      <c r="PW11" s="1434"/>
      <c r="PX11" s="1434"/>
      <c r="PY11" s="1434"/>
      <c r="PZ11" s="1434"/>
      <c r="QA11" s="1434"/>
      <c r="QB11" s="1434"/>
      <c r="QC11" s="1434"/>
      <c r="QD11" s="1434"/>
      <c r="QE11" s="1434"/>
      <c r="QF11" s="1434"/>
      <c r="QG11" s="1434"/>
      <c r="QH11" s="1434"/>
      <c r="QI11" s="1434"/>
      <c r="QJ11" s="1434"/>
      <c r="QK11" s="1434"/>
      <c r="QL11" s="1434"/>
      <c r="QM11" s="1434"/>
      <c r="QN11" s="1434"/>
      <c r="QO11" s="1434"/>
      <c r="QP11" s="1434"/>
      <c r="QQ11" s="1434"/>
      <c r="QR11" s="1434"/>
      <c r="QS11" s="1434"/>
      <c r="QT11" s="1434"/>
      <c r="QU11" s="1434"/>
      <c r="QY11" s="1433"/>
      <c r="RC11" s="1433"/>
      <c r="RG11" s="1432"/>
    </row>
    <row r="12" spans="1:475" s="1431" customFormat="1" ht="19.899999999999999" customHeight="1" x14ac:dyDescent="0.25">
      <c r="B12" s="1575"/>
      <c r="C12" s="1457">
        <f t="shared" si="0"/>
        <v>8</v>
      </c>
      <c r="D12" s="1430"/>
      <c r="G12" s="1432"/>
      <c r="L12" s="1433"/>
      <c r="P12" s="1433"/>
      <c r="T12" s="1433"/>
      <c r="W12" s="1434"/>
      <c r="X12" s="1434"/>
      <c r="Y12" s="1434"/>
      <c r="Z12" s="1434"/>
      <c r="AA12" s="1434"/>
      <c r="AB12" s="1434"/>
      <c r="AC12" s="1434"/>
      <c r="AD12" s="1434"/>
      <c r="AE12" s="1434"/>
      <c r="AF12" s="1434"/>
      <c r="AG12" s="1434"/>
      <c r="AH12" s="1434"/>
      <c r="AI12" s="1434"/>
      <c r="AJ12" s="1434"/>
      <c r="AK12" s="1434"/>
      <c r="AL12" s="1434"/>
      <c r="AM12" s="1434"/>
      <c r="AN12" s="1434"/>
      <c r="AO12" s="1434"/>
      <c r="AP12" s="1434"/>
      <c r="AQ12" s="1434"/>
      <c r="AR12" s="1434"/>
      <c r="AS12" s="1434"/>
      <c r="AT12" s="1434"/>
      <c r="AU12" s="1434"/>
      <c r="AY12" s="1433"/>
      <c r="BC12" s="1433"/>
      <c r="BG12" s="1432"/>
      <c r="BL12" s="1433"/>
      <c r="BP12" s="1433"/>
      <c r="BT12" s="1433"/>
      <c r="BY12" s="1433"/>
      <c r="CC12" s="1433"/>
      <c r="CH12" s="1509" t="s">
        <v>285</v>
      </c>
      <c r="CI12" s="1460"/>
      <c r="CJ12" s="1460"/>
      <c r="CK12" s="1460"/>
      <c r="CL12" s="1460"/>
      <c r="CM12" s="1460"/>
      <c r="CN12" s="1460"/>
      <c r="CO12" s="1460"/>
      <c r="CP12" s="1460"/>
      <c r="CQ12" s="1460"/>
      <c r="CR12" s="1460"/>
      <c r="CS12" s="1460"/>
      <c r="CT12" s="1460"/>
      <c r="CU12" s="1460"/>
      <c r="CX12" s="1438"/>
      <c r="CY12" s="1438"/>
      <c r="CZ12" s="1438"/>
      <c r="DA12" s="1438"/>
      <c r="DB12" s="1438"/>
      <c r="DC12" s="1438"/>
      <c r="DD12" s="1438"/>
      <c r="DE12" s="1438"/>
      <c r="DF12" s="1438"/>
      <c r="DG12" s="1438"/>
      <c r="DH12" s="1438"/>
      <c r="DI12" s="1438"/>
      <c r="DJ12" s="1438"/>
      <c r="DK12" s="1438"/>
      <c r="DL12" s="1438"/>
      <c r="DM12" s="1438"/>
      <c r="DN12" s="1438"/>
      <c r="DO12" s="1438"/>
      <c r="DP12" s="1438"/>
      <c r="DQ12" s="1438"/>
      <c r="DR12" s="1438"/>
      <c r="DS12" s="1438"/>
      <c r="DT12" s="1438"/>
      <c r="DU12" s="1438"/>
      <c r="DV12" s="1438"/>
      <c r="DW12" s="1438"/>
      <c r="DX12" s="1438"/>
      <c r="DY12" s="1438"/>
      <c r="DZ12" s="1438"/>
      <c r="EA12" s="1438"/>
      <c r="EB12" s="1438"/>
      <c r="EC12" s="1439"/>
      <c r="EH12" s="1433"/>
      <c r="EJ12" s="1478"/>
      <c r="EK12" s="1479"/>
      <c r="EL12" s="1479"/>
      <c r="EM12" s="1479"/>
      <c r="EN12" s="1479"/>
      <c r="EO12" s="1479"/>
      <c r="EP12" s="1479"/>
      <c r="EQ12" s="1479"/>
      <c r="ER12" s="1479"/>
      <c r="ES12" s="1479"/>
      <c r="ET12" s="1479"/>
      <c r="EU12" s="1479"/>
      <c r="EV12" s="1479"/>
      <c r="EW12" s="1479"/>
      <c r="EX12" s="1479"/>
      <c r="EY12" s="1480"/>
      <c r="FC12" s="1433"/>
      <c r="FG12" s="1432"/>
      <c r="FL12" s="1433"/>
      <c r="FP12" s="1433"/>
      <c r="FT12" s="1433"/>
      <c r="FU12" s="1481"/>
      <c r="FV12" s="1482"/>
      <c r="FW12" s="1482"/>
      <c r="FX12" s="1482"/>
      <c r="FY12" s="1482"/>
      <c r="FZ12" s="1482"/>
      <c r="GA12" s="1482"/>
      <c r="GB12" s="1482"/>
      <c r="GC12" s="1482"/>
      <c r="GD12" s="1482"/>
      <c r="GE12" s="1482"/>
      <c r="GF12" s="1482"/>
      <c r="GG12" s="1482"/>
      <c r="GH12" s="1482"/>
      <c r="GI12" s="1482"/>
      <c r="GJ12" s="1482"/>
      <c r="GK12" s="1482"/>
      <c r="GL12" s="1482"/>
      <c r="GM12" s="1482"/>
      <c r="GN12" s="1482"/>
      <c r="GO12" s="1482"/>
      <c r="GP12" s="1482"/>
      <c r="GQ12" s="1482"/>
      <c r="GR12" s="1482"/>
      <c r="GS12" s="1482"/>
      <c r="GT12" s="1482"/>
      <c r="GU12" s="1482"/>
      <c r="GV12" s="1482"/>
      <c r="GW12" s="1482"/>
      <c r="GX12" s="1482"/>
      <c r="GY12" s="1482"/>
      <c r="GZ12" s="1482"/>
      <c r="HA12" s="1482"/>
      <c r="HB12" s="1482"/>
      <c r="HC12" s="1482"/>
      <c r="HD12" s="1482"/>
      <c r="HE12" s="1482"/>
      <c r="HF12" s="1482"/>
      <c r="HG12" s="1482"/>
      <c r="HH12" s="1482"/>
      <c r="HI12" s="1482"/>
      <c r="HJ12" s="1482"/>
      <c r="HK12" s="1482"/>
      <c r="HL12" s="1482"/>
      <c r="HM12" s="1482"/>
      <c r="HN12" s="1482"/>
      <c r="HO12" s="1482"/>
      <c r="HP12" s="1482"/>
      <c r="HQ12" s="1482"/>
      <c r="HR12" s="1483"/>
      <c r="HT12" s="1433"/>
      <c r="HW12" s="1441"/>
      <c r="HX12" s="1442"/>
      <c r="HY12" s="1442"/>
      <c r="HZ12" s="1442"/>
      <c r="IA12" s="1442"/>
      <c r="IB12" s="1442"/>
      <c r="IC12" s="1442"/>
      <c r="ID12" s="1442"/>
      <c r="IE12" s="1442"/>
      <c r="IF12" s="1442"/>
      <c r="IG12" s="1442"/>
      <c r="IH12" s="1442"/>
      <c r="II12" s="1442"/>
      <c r="IJ12" s="1442"/>
      <c r="IK12" s="1442"/>
      <c r="IL12" s="1442"/>
      <c r="IM12" s="1442"/>
      <c r="IN12" s="1442"/>
      <c r="IO12" s="1442"/>
      <c r="IP12" s="1442"/>
      <c r="IQ12" s="1442"/>
      <c r="IR12" s="1442"/>
      <c r="IS12" s="1442"/>
      <c r="IT12" s="1442"/>
      <c r="IU12" s="1443"/>
      <c r="IX12" s="1438"/>
      <c r="IY12" s="1438"/>
      <c r="IZ12" s="1438"/>
      <c r="JA12" s="1438"/>
      <c r="JB12" s="1438"/>
      <c r="JC12" s="1438"/>
      <c r="JD12" s="1438"/>
      <c r="JE12" s="1438"/>
      <c r="JF12" s="1438"/>
      <c r="JG12" s="1438"/>
      <c r="JH12" s="1438"/>
      <c r="JI12" s="1438"/>
      <c r="JJ12" s="1438"/>
      <c r="JK12" s="1438"/>
      <c r="JL12" s="1438"/>
      <c r="JM12" s="1438"/>
      <c r="JN12" s="1438"/>
      <c r="JO12" s="1438"/>
      <c r="JP12" s="1438"/>
      <c r="JQ12" s="1438"/>
      <c r="JR12" s="1438"/>
      <c r="JS12" s="1438"/>
      <c r="JT12" s="1438"/>
      <c r="JU12" s="1438"/>
      <c r="JV12" s="1438"/>
      <c r="JW12" s="1438"/>
      <c r="JX12" s="1438"/>
      <c r="JY12" s="1438"/>
      <c r="JZ12" s="1438"/>
      <c r="KA12" s="1438"/>
      <c r="KC12" s="1433"/>
      <c r="KH12" s="1433"/>
      <c r="KL12" s="1433"/>
      <c r="KP12" s="1433"/>
      <c r="KQ12" s="1475" t="s">
        <v>292</v>
      </c>
      <c r="KR12" s="1476"/>
      <c r="KS12" s="1476"/>
      <c r="KT12" s="1476"/>
      <c r="KU12" s="1476"/>
      <c r="KV12" s="1476"/>
      <c r="KW12" s="1476"/>
      <c r="KX12" s="1476"/>
      <c r="KY12" s="1476"/>
      <c r="KZ12" s="1459"/>
      <c r="LA12" s="1459"/>
      <c r="LB12" s="1459"/>
      <c r="LC12" s="1459"/>
      <c r="LD12" s="1459"/>
      <c r="LE12" s="1459"/>
      <c r="LF12" s="1459"/>
      <c r="LG12" s="1459"/>
      <c r="LH12" s="1459"/>
      <c r="LI12" s="1459"/>
      <c r="LJ12" s="1459"/>
      <c r="LK12" s="1459"/>
      <c r="LL12" s="1459"/>
      <c r="LM12" s="1459"/>
      <c r="LN12" s="1460"/>
      <c r="LP12" s="1433"/>
      <c r="LT12" s="1510" t="s">
        <v>322</v>
      </c>
      <c r="LU12" s="1511"/>
      <c r="LV12" s="1511"/>
      <c r="LW12" s="1511"/>
      <c r="LX12" s="1511"/>
      <c r="LY12" s="1511"/>
      <c r="LZ12" s="1511"/>
      <c r="MA12" s="1511"/>
      <c r="MB12" s="1511"/>
      <c r="MC12" s="1511"/>
      <c r="MD12" s="1511"/>
      <c r="ME12" s="1512"/>
      <c r="MH12" s="1433"/>
      <c r="ML12" s="1433"/>
      <c r="MQ12" s="1430"/>
      <c r="MU12" s="1430"/>
      <c r="MY12" s="1433"/>
      <c r="NB12" s="1438"/>
      <c r="NC12" s="1438"/>
      <c r="ND12" s="1438"/>
      <c r="NE12" s="1438"/>
      <c r="NF12" s="1438"/>
      <c r="NG12" s="1438"/>
      <c r="NH12" s="1438"/>
      <c r="NI12" s="1438"/>
      <c r="NJ12" s="1438"/>
      <c r="NK12" s="1438"/>
      <c r="NL12" s="1438"/>
      <c r="NM12" s="1438"/>
      <c r="NN12" s="1438"/>
      <c r="NO12" s="1438"/>
      <c r="NP12" s="1438"/>
      <c r="NQ12" s="1438"/>
      <c r="NR12" s="1438"/>
      <c r="NS12" s="1438"/>
      <c r="NT12" s="1438"/>
      <c r="NU12" s="1438"/>
      <c r="NV12" s="1438"/>
      <c r="NW12" s="1438"/>
      <c r="NX12" s="1438"/>
      <c r="NY12" s="1438"/>
      <c r="NZ12" s="1438"/>
      <c r="OA12" s="1438"/>
      <c r="OB12" s="1438"/>
      <c r="OC12" s="1438"/>
      <c r="OD12" s="1438"/>
      <c r="OE12" s="1438"/>
      <c r="OF12" s="1438"/>
      <c r="OG12" s="1438"/>
      <c r="OH12" s="1439"/>
      <c r="OI12" s="1440"/>
      <c r="OM12" s="1487"/>
      <c r="ON12" s="1488"/>
      <c r="OO12" s="1488"/>
      <c r="OP12" s="1488"/>
      <c r="OQ12" s="1488"/>
      <c r="OR12" s="1488"/>
      <c r="OS12" s="1488"/>
      <c r="OT12" s="1488"/>
      <c r="OU12" s="1488"/>
      <c r="OV12" s="1488"/>
      <c r="OW12" s="1488"/>
      <c r="OX12" s="1488"/>
      <c r="OY12" s="1488"/>
      <c r="OZ12" s="1488"/>
      <c r="PA12" s="1488"/>
      <c r="PB12" s="1488"/>
      <c r="PC12" s="1488"/>
      <c r="PD12" s="1488"/>
      <c r="PE12" s="1488"/>
      <c r="PF12" s="1488"/>
      <c r="PG12" s="1488"/>
      <c r="PH12" s="1488"/>
      <c r="PI12" s="1488"/>
      <c r="PJ12" s="1488"/>
      <c r="PK12" s="1488"/>
      <c r="PL12" s="1488"/>
      <c r="PM12" s="1488"/>
      <c r="PN12" s="1488"/>
      <c r="PO12" s="1488"/>
      <c r="PP12" s="1488"/>
      <c r="PQ12" s="1489"/>
      <c r="PS12" s="1490"/>
      <c r="PT12" s="1433"/>
      <c r="PW12" s="1434"/>
      <c r="PX12" s="1434"/>
      <c r="PY12" s="1434"/>
      <c r="PZ12" s="1434"/>
      <c r="QA12" s="1434"/>
      <c r="QB12" s="1434"/>
      <c r="QC12" s="1434"/>
      <c r="QD12" s="1434"/>
      <c r="QE12" s="1434"/>
      <c r="QF12" s="1434"/>
      <c r="QG12" s="1434"/>
      <c r="QH12" s="1434"/>
      <c r="QI12" s="1434"/>
      <c r="QJ12" s="1434"/>
      <c r="QK12" s="1434"/>
      <c r="QL12" s="1434"/>
      <c r="QM12" s="1434"/>
      <c r="QN12" s="1434"/>
      <c r="QO12" s="1434"/>
      <c r="QP12" s="1434"/>
      <c r="QQ12" s="1434"/>
      <c r="QR12" s="1434"/>
      <c r="QS12" s="1434"/>
      <c r="QT12" s="1434"/>
      <c r="QU12" s="1434"/>
      <c r="QY12" s="1433"/>
      <c r="RC12" s="1433"/>
      <c r="RG12" s="1432"/>
    </row>
    <row r="13" spans="1:475" s="1431" customFormat="1" ht="19.899999999999999" customHeight="1" x14ac:dyDescent="0.25">
      <c r="B13" s="1575"/>
      <c r="C13" s="1457">
        <f t="shared" si="0"/>
        <v>9</v>
      </c>
      <c r="D13" s="1430"/>
      <c r="G13" s="1432"/>
      <c r="L13" s="1433"/>
      <c r="P13" s="1433"/>
      <c r="T13" s="1433"/>
      <c r="U13" s="1450"/>
      <c r="V13" s="1450"/>
      <c r="W13" s="1434"/>
      <c r="X13" s="1434"/>
      <c r="Y13" s="1434"/>
      <c r="Z13" s="1434"/>
      <c r="AA13" s="1434"/>
      <c r="AB13" s="1434"/>
      <c r="AC13" s="1434"/>
      <c r="AD13" s="1434"/>
      <c r="AE13" s="1434"/>
      <c r="AF13" s="1434"/>
      <c r="AG13" s="1434"/>
      <c r="AH13" s="1434"/>
      <c r="AI13" s="1434"/>
      <c r="AJ13" s="1434"/>
      <c r="AK13" s="1434"/>
      <c r="AL13" s="1434"/>
      <c r="AM13" s="1434"/>
      <c r="AN13" s="1434"/>
      <c r="AO13" s="1434"/>
      <c r="AP13" s="1434"/>
      <c r="AQ13" s="1434"/>
      <c r="AR13" s="1434"/>
      <c r="AS13" s="1434"/>
      <c r="AT13" s="1434"/>
      <c r="AU13" s="1434"/>
      <c r="AY13" s="1433"/>
      <c r="BC13" s="1433"/>
      <c r="BG13" s="1432"/>
      <c r="BL13" s="1433"/>
      <c r="BP13" s="1433"/>
      <c r="BT13" s="1433"/>
      <c r="BY13" s="1433"/>
      <c r="CC13" s="1433"/>
      <c r="CH13" s="1513"/>
      <c r="CI13" s="1477"/>
      <c r="CJ13" s="1477"/>
      <c r="CK13" s="1477"/>
      <c r="CL13" s="1477"/>
      <c r="CM13" s="1477"/>
      <c r="CN13" s="1477"/>
      <c r="CO13" s="1477"/>
      <c r="CP13" s="1477"/>
      <c r="CQ13" s="1477"/>
      <c r="CR13" s="1477"/>
      <c r="CS13" s="1477"/>
      <c r="CT13" s="1477"/>
      <c r="CU13" s="1477"/>
      <c r="CX13" s="1438"/>
      <c r="CY13" s="1438"/>
      <c r="CZ13" s="1438"/>
      <c r="DA13" s="1438"/>
      <c r="DB13" s="1438"/>
      <c r="DC13" s="1438"/>
      <c r="DD13" s="1438"/>
      <c r="DE13" s="1438"/>
      <c r="DF13" s="1438"/>
      <c r="DG13" s="1438"/>
      <c r="DH13" s="1438"/>
      <c r="DI13" s="1438"/>
      <c r="DJ13" s="1438"/>
      <c r="DK13" s="1438"/>
      <c r="DL13" s="1438"/>
      <c r="DM13" s="1438"/>
      <c r="DN13" s="1438"/>
      <c r="DO13" s="1438"/>
      <c r="DP13" s="1438"/>
      <c r="DQ13" s="1438"/>
      <c r="DR13" s="1438"/>
      <c r="DS13" s="1438"/>
      <c r="DT13" s="1438"/>
      <c r="DU13" s="1438"/>
      <c r="DV13" s="1438"/>
      <c r="DW13" s="1438"/>
      <c r="DX13" s="1438"/>
      <c r="DY13" s="1438"/>
      <c r="DZ13" s="1438"/>
      <c r="EA13" s="1438"/>
      <c r="EB13" s="1438"/>
      <c r="EC13" s="1439"/>
      <c r="EH13" s="1433"/>
      <c r="EJ13" s="1478"/>
      <c r="EK13" s="1479"/>
      <c r="EL13" s="1479"/>
      <c r="EM13" s="1479"/>
      <c r="EN13" s="1479"/>
      <c r="EO13" s="1479"/>
      <c r="EP13" s="1479"/>
      <c r="EQ13" s="1514"/>
      <c r="ER13" s="1514"/>
      <c r="ES13" s="1514"/>
      <c r="ET13" s="1514"/>
      <c r="EU13" s="1514"/>
      <c r="EV13" s="1514"/>
      <c r="EW13" s="1514"/>
      <c r="EX13" s="1514"/>
      <c r="EY13" s="1515"/>
      <c r="FC13" s="1433"/>
      <c r="FG13" s="1432"/>
      <c r="FL13" s="1433"/>
      <c r="FP13" s="1433"/>
      <c r="FT13" s="1433"/>
      <c r="FU13" s="1481"/>
      <c r="FV13" s="1482"/>
      <c r="FW13" s="1482"/>
      <c r="FX13" s="1482"/>
      <c r="FY13" s="1482"/>
      <c r="FZ13" s="1482"/>
      <c r="GA13" s="1482"/>
      <c r="GB13" s="1482"/>
      <c r="GC13" s="1482"/>
      <c r="GD13" s="1482"/>
      <c r="GE13" s="1482"/>
      <c r="GF13" s="1482"/>
      <c r="GG13" s="1482"/>
      <c r="GH13" s="1482"/>
      <c r="GI13" s="1482"/>
      <c r="GJ13" s="1482"/>
      <c r="GK13" s="1482"/>
      <c r="GL13" s="1482"/>
      <c r="GM13" s="1482"/>
      <c r="GN13" s="1482"/>
      <c r="GO13" s="1482"/>
      <c r="GP13" s="1482"/>
      <c r="GQ13" s="1482"/>
      <c r="GR13" s="1482"/>
      <c r="GS13" s="1482"/>
      <c r="GT13" s="1482"/>
      <c r="GU13" s="1482"/>
      <c r="GV13" s="1482"/>
      <c r="GW13" s="1482"/>
      <c r="GX13" s="1482"/>
      <c r="GY13" s="1482"/>
      <c r="GZ13" s="1482"/>
      <c r="HA13" s="1482"/>
      <c r="HB13" s="1482"/>
      <c r="HC13" s="1482"/>
      <c r="HD13" s="1482"/>
      <c r="HE13" s="1482"/>
      <c r="HF13" s="1482"/>
      <c r="HG13" s="1482"/>
      <c r="HH13" s="1482"/>
      <c r="HI13" s="1482"/>
      <c r="HJ13" s="1482"/>
      <c r="HK13" s="1482"/>
      <c r="HL13" s="1482"/>
      <c r="HM13" s="1482"/>
      <c r="HN13" s="1482"/>
      <c r="HO13" s="1482"/>
      <c r="HP13" s="1482"/>
      <c r="HQ13" s="1482"/>
      <c r="HR13" s="1483"/>
      <c r="HT13" s="1433"/>
      <c r="HW13" s="1441"/>
      <c r="HX13" s="1442"/>
      <c r="HY13" s="1442"/>
      <c r="HZ13" s="1442"/>
      <c r="IA13" s="1442"/>
      <c r="IB13" s="1442"/>
      <c r="IC13" s="1442"/>
      <c r="ID13" s="1442"/>
      <c r="IE13" s="1442"/>
      <c r="IF13" s="1442"/>
      <c r="IG13" s="1442"/>
      <c r="IH13" s="1442"/>
      <c r="II13" s="1442"/>
      <c r="IJ13" s="1442"/>
      <c r="IK13" s="1442"/>
      <c r="IL13" s="1442"/>
      <c r="IM13" s="1442"/>
      <c r="IN13" s="1442"/>
      <c r="IO13" s="1442"/>
      <c r="IP13" s="1442"/>
      <c r="IQ13" s="1442"/>
      <c r="IR13" s="1442"/>
      <c r="IS13" s="1442"/>
      <c r="IT13" s="1442"/>
      <c r="IU13" s="1443"/>
      <c r="IX13" s="1438"/>
      <c r="IY13" s="1438"/>
      <c r="IZ13" s="1438"/>
      <c r="JA13" s="1438"/>
      <c r="JB13" s="1438"/>
      <c r="JC13" s="1438"/>
      <c r="JD13" s="1438"/>
      <c r="JE13" s="1438"/>
      <c r="JF13" s="1438"/>
      <c r="JG13" s="1438"/>
      <c r="JH13" s="1438"/>
      <c r="JI13" s="1438"/>
      <c r="JJ13" s="1438"/>
      <c r="JK13" s="1438"/>
      <c r="JL13" s="1438"/>
      <c r="JM13" s="1438"/>
      <c r="JN13" s="1438"/>
      <c r="JO13" s="1438"/>
      <c r="JP13" s="1438"/>
      <c r="JQ13" s="1438"/>
      <c r="JR13" s="1438"/>
      <c r="JS13" s="1438"/>
      <c r="JT13" s="1438"/>
      <c r="JU13" s="1438"/>
      <c r="JV13" s="1438"/>
      <c r="JW13" s="1438"/>
      <c r="JX13" s="1438"/>
      <c r="JY13" s="1438"/>
      <c r="JZ13" s="1438"/>
      <c r="KA13" s="1438"/>
      <c r="KC13" s="1433"/>
      <c r="KH13" s="1433"/>
      <c r="KL13" s="1433"/>
      <c r="KP13" s="1433"/>
      <c r="KQ13" s="1475"/>
      <c r="KR13" s="1476"/>
      <c r="KS13" s="1476"/>
      <c r="KT13" s="1476"/>
      <c r="KU13" s="1476"/>
      <c r="KV13" s="1476"/>
      <c r="KW13" s="1476"/>
      <c r="KX13" s="1476"/>
      <c r="KY13" s="1476"/>
      <c r="KZ13" s="1476"/>
      <c r="LA13" s="1476"/>
      <c r="LB13" s="1476"/>
      <c r="LC13" s="1476"/>
      <c r="LD13" s="1476"/>
      <c r="LE13" s="1476"/>
      <c r="LF13" s="1476"/>
      <c r="LG13" s="1476"/>
      <c r="LH13" s="1476"/>
      <c r="LI13" s="1476"/>
      <c r="LJ13" s="1476"/>
      <c r="LK13" s="1476"/>
      <c r="LL13" s="1476"/>
      <c r="LM13" s="1476"/>
      <c r="LN13" s="1477"/>
      <c r="LP13" s="1433"/>
      <c r="LT13" s="1433"/>
      <c r="LX13" s="1510" t="s">
        <v>322</v>
      </c>
      <c r="LY13" s="1511"/>
      <c r="LZ13" s="1511"/>
      <c r="MA13" s="1511"/>
      <c r="MB13" s="1511"/>
      <c r="MC13" s="1511"/>
      <c r="MD13" s="1511"/>
      <c r="ME13" s="1511"/>
      <c r="MF13" s="1511"/>
      <c r="MG13" s="1511"/>
      <c r="MH13" s="1512"/>
      <c r="ML13" s="1433"/>
      <c r="MQ13" s="1430"/>
      <c r="MU13" s="1430"/>
      <c r="MY13" s="1433"/>
      <c r="NB13" s="1438"/>
      <c r="NC13" s="1438"/>
      <c r="ND13" s="1438"/>
      <c r="NE13" s="1438"/>
      <c r="NF13" s="1438"/>
      <c r="NG13" s="1438"/>
      <c r="NH13" s="1438"/>
      <c r="NI13" s="1438"/>
      <c r="NJ13" s="1438"/>
      <c r="NK13" s="1438"/>
      <c r="NL13" s="1438"/>
      <c r="NM13" s="1438"/>
      <c r="NN13" s="1438"/>
      <c r="NO13" s="1438"/>
      <c r="NP13" s="1438"/>
      <c r="NQ13" s="1438"/>
      <c r="NR13" s="1438"/>
      <c r="NS13" s="1438"/>
      <c r="NT13" s="1438"/>
      <c r="NU13" s="1438"/>
      <c r="NV13" s="1438"/>
      <c r="NW13" s="1438"/>
      <c r="NX13" s="1438"/>
      <c r="NY13" s="1438"/>
      <c r="NZ13" s="1438"/>
      <c r="OA13" s="1438"/>
      <c r="OB13" s="1438"/>
      <c r="OC13" s="1438"/>
      <c r="OD13" s="1438"/>
      <c r="OE13" s="1438"/>
      <c r="OF13" s="1438"/>
      <c r="OG13" s="1438"/>
      <c r="OH13" s="1439"/>
      <c r="OI13" s="1440"/>
      <c r="OM13" s="1487"/>
      <c r="ON13" s="1488"/>
      <c r="OO13" s="1488"/>
      <c r="OP13" s="1488"/>
      <c r="OQ13" s="1488"/>
      <c r="OR13" s="1488"/>
      <c r="OS13" s="1488"/>
      <c r="OT13" s="1488"/>
      <c r="OU13" s="1488"/>
      <c r="OV13" s="1488"/>
      <c r="OW13" s="1488"/>
      <c r="OX13" s="1488"/>
      <c r="OY13" s="1488"/>
      <c r="OZ13" s="1488"/>
      <c r="PA13" s="1488"/>
      <c r="PB13" s="1488"/>
      <c r="PC13" s="1488"/>
      <c r="PD13" s="1488"/>
      <c r="PE13" s="1488"/>
      <c r="PF13" s="1488"/>
      <c r="PG13" s="1488"/>
      <c r="PH13" s="1488"/>
      <c r="PI13" s="1488"/>
      <c r="PJ13" s="1488"/>
      <c r="PK13" s="1488"/>
      <c r="PL13" s="1488"/>
      <c r="PM13" s="1488"/>
      <c r="PN13" s="1488"/>
      <c r="PO13" s="1488"/>
      <c r="PP13" s="1488"/>
      <c r="PQ13" s="1489"/>
      <c r="PS13" s="1490"/>
      <c r="PT13" s="1433"/>
      <c r="PW13" s="1434"/>
      <c r="PX13" s="1434"/>
      <c r="PY13" s="1434"/>
      <c r="PZ13" s="1434"/>
      <c r="QA13" s="1434"/>
      <c r="QB13" s="1434"/>
      <c r="QC13" s="1434"/>
      <c r="QD13" s="1434"/>
      <c r="QE13" s="1434"/>
      <c r="QF13" s="1434"/>
      <c r="QG13" s="1434"/>
      <c r="QH13" s="1434"/>
      <c r="QI13" s="1434"/>
      <c r="QJ13" s="1434"/>
      <c r="QK13" s="1434"/>
      <c r="QL13" s="1434"/>
      <c r="QM13" s="1434"/>
      <c r="QN13" s="1434"/>
      <c r="QO13" s="1434"/>
      <c r="QP13" s="1434"/>
      <c r="QQ13" s="1434"/>
      <c r="QR13" s="1434"/>
      <c r="QS13" s="1434"/>
      <c r="QT13" s="1434"/>
      <c r="QU13" s="1434"/>
      <c r="QY13" s="1433"/>
      <c r="RC13" s="1433"/>
      <c r="RG13" s="1432"/>
    </row>
    <row r="14" spans="1:475" s="1431" customFormat="1" ht="19.899999999999999" customHeight="1" x14ac:dyDescent="0.25">
      <c r="B14" s="1575"/>
      <c r="C14" s="1457">
        <f t="shared" si="0"/>
        <v>10</v>
      </c>
      <c r="D14" s="1446"/>
      <c r="E14" s="1447"/>
      <c r="F14" s="1447"/>
      <c r="G14" s="1432"/>
      <c r="L14" s="1433"/>
      <c r="P14" s="1433"/>
      <c r="T14" s="1433"/>
      <c r="W14" s="1434"/>
      <c r="X14" s="1434"/>
      <c r="Y14" s="1434"/>
      <c r="Z14" s="1434"/>
      <c r="AA14" s="1434"/>
      <c r="AB14" s="1434"/>
      <c r="AC14" s="1434"/>
      <c r="AD14" s="1434"/>
      <c r="AE14" s="1434"/>
      <c r="AF14" s="1434"/>
      <c r="AG14" s="1434"/>
      <c r="AH14" s="1434"/>
      <c r="AI14" s="1434"/>
      <c r="AJ14" s="1434"/>
      <c r="AK14" s="1434"/>
      <c r="AL14" s="1434"/>
      <c r="AM14" s="1434"/>
      <c r="AN14" s="1434"/>
      <c r="AO14" s="1434"/>
      <c r="AP14" s="1434"/>
      <c r="AQ14" s="1434"/>
      <c r="AR14" s="1434"/>
      <c r="AS14" s="1434"/>
      <c r="AT14" s="1434"/>
      <c r="AU14" s="1434"/>
      <c r="AY14" s="1433"/>
      <c r="BC14" s="1433"/>
      <c r="BG14" s="1432"/>
      <c r="BL14" s="1433"/>
      <c r="BP14" s="1433"/>
      <c r="BT14" s="1433"/>
      <c r="BY14" s="1433"/>
      <c r="CC14" s="1433"/>
      <c r="CH14" s="1513"/>
      <c r="CI14" s="1477"/>
      <c r="CJ14" s="1477"/>
      <c r="CK14" s="1477"/>
      <c r="CL14" s="1477"/>
      <c r="CM14" s="1477"/>
      <c r="CN14" s="1477"/>
      <c r="CO14" s="1477"/>
      <c r="CP14" s="1477"/>
      <c r="CQ14" s="1477"/>
      <c r="CR14" s="1477"/>
      <c r="CS14" s="1477"/>
      <c r="CT14" s="1477"/>
      <c r="CU14" s="1477"/>
      <c r="CX14" s="1438"/>
      <c r="CY14" s="1438"/>
      <c r="CZ14" s="1438"/>
      <c r="DA14" s="1438"/>
      <c r="DB14" s="1438"/>
      <c r="DC14" s="1438"/>
      <c r="DD14" s="1438"/>
      <c r="DE14" s="1438"/>
      <c r="DF14" s="1438"/>
      <c r="DG14" s="1438"/>
      <c r="DH14" s="1438"/>
      <c r="DI14" s="1438"/>
      <c r="DJ14" s="1438"/>
      <c r="DK14" s="1438"/>
      <c r="DL14" s="1438"/>
      <c r="DM14" s="1438"/>
      <c r="DN14" s="1438"/>
      <c r="DO14" s="1438"/>
      <c r="DP14" s="1438"/>
      <c r="DQ14" s="1438"/>
      <c r="DR14" s="1438"/>
      <c r="DS14" s="1438"/>
      <c r="DT14" s="1438"/>
      <c r="DU14" s="1438"/>
      <c r="DV14" s="1438"/>
      <c r="DW14" s="1438"/>
      <c r="DX14" s="1438"/>
      <c r="DY14" s="1438"/>
      <c r="DZ14" s="1438"/>
      <c r="EA14" s="1438"/>
      <c r="EB14" s="1438"/>
      <c r="EC14" s="1439"/>
      <c r="EG14" s="1461" t="s">
        <v>308</v>
      </c>
      <c r="EH14" s="1462"/>
      <c r="EI14" s="1462"/>
      <c r="EJ14" s="1462"/>
      <c r="EK14" s="1462"/>
      <c r="EL14" s="1462"/>
      <c r="EM14" s="1462"/>
      <c r="EN14" s="1462"/>
      <c r="EO14" s="1462"/>
      <c r="EP14" s="1463"/>
      <c r="ET14" s="1433"/>
      <c r="EY14" s="1433"/>
      <c r="FC14" s="1433"/>
      <c r="FG14" s="1432"/>
      <c r="FL14" s="1433"/>
      <c r="FP14" s="1433"/>
      <c r="FT14" s="1433"/>
      <c r="FU14" s="1516"/>
      <c r="FV14" s="1517"/>
      <c r="FW14" s="1517"/>
      <c r="FX14" s="1517"/>
      <c r="FY14" s="1517"/>
      <c r="FZ14" s="1517"/>
      <c r="GA14" s="1517"/>
      <c r="GB14" s="1517"/>
      <c r="GC14" s="1517"/>
      <c r="GD14" s="1517"/>
      <c r="GE14" s="1517"/>
      <c r="GF14" s="1517"/>
      <c r="GG14" s="1517"/>
      <c r="GH14" s="1517"/>
      <c r="GI14" s="1517"/>
      <c r="GJ14" s="1517"/>
      <c r="GK14" s="1517"/>
      <c r="GL14" s="1517"/>
      <c r="GM14" s="1517"/>
      <c r="GN14" s="1517"/>
      <c r="GO14" s="1517"/>
      <c r="GP14" s="1517"/>
      <c r="GQ14" s="1517"/>
      <c r="GR14" s="1517"/>
      <c r="GS14" s="1517"/>
      <c r="GT14" s="1517"/>
      <c r="GU14" s="1517"/>
      <c r="GV14" s="1517"/>
      <c r="GW14" s="1517"/>
      <c r="GX14" s="1517"/>
      <c r="GY14" s="1517"/>
      <c r="GZ14" s="1517"/>
      <c r="HA14" s="1517"/>
      <c r="HB14" s="1517"/>
      <c r="HC14" s="1517"/>
      <c r="HD14" s="1517"/>
      <c r="HE14" s="1517"/>
      <c r="HF14" s="1517"/>
      <c r="HG14" s="1517"/>
      <c r="HH14" s="1517"/>
      <c r="HI14" s="1517"/>
      <c r="HJ14" s="1517"/>
      <c r="HK14" s="1517"/>
      <c r="HL14" s="1517"/>
      <c r="HM14" s="1517"/>
      <c r="HN14" s="1517"/>
      <c r="HO14" s="1517"/>
      <c r="HP14" s="1517"/>
      <c r="HQ14" s="1517"/>
      <c r="HR14" s="1518"/>
      <c r="HT14" s="1433"/>
      <c r="HW14" s="1441"/>
      <c r="HX14" s="1442"/>
      <c r="HY14" s="1442"/>
      <c r="HZ14" s="1442"/>
      <c r="IA14" s="1442"/>
      <c r="IB14" s="1442"/>
      <c r="IC14" s="1442"/>
      <c r="ID14" s="1442"/>
      <c r="IE14" s="1442"/>
      <c r="IF14" s="1442"/>
      <c r="IG14" s="1442"/>
      <c r="IH14" s="1442"/>
      <c r="II14" s="1442"/>
      <c r="IJ14" s="1442"/>
      <c r="IK14" s="1442"/>
      <c r="IL14" s="1442"/>
      <c r="IM14" s="1442"/>
      <c r="IN14" s="1442"/>
      <c r="IO14" s="1442"/>
      <c r="IP14" s="1442"/>
      <c r="IQ14" s="1442"/>
      <c r="IR14" s="1442"/>
      <c r="IS14" s="1442"/>
      <c r="IT14" s="1442"/>
      <c r="IU14" s="1443"/>
      <c r="IX14" s="1438"/>
      <c r="IY14" s="1438"/>
      <c r="IZ14" s="1438"/>
      <c r="JA14" s="1438"/>
      <c r="JB14" s="1438"/>
      <c r="JC14" s="1438"/>
      <c r="JD14" s="1438"/>
      <c r="JE14" s="1438"/>
      <c r="JF14" s="1438"/>
      <c r="JG14" s="1438"/>
      <c r="JH14" s="1438"/>
      <c r="JI14" s="1438"/>
      <c r="JJ14" s="1438"/>
      <c r="JK14" s="1438"/>
      <c r="JL14" s="1438"/>
      <c r="JM14" s="1438"/>
      <c r="JN14" s="1438"/>
      <c r="JO14" s="1438"/>
      <c r="JP14" s="1438"/>
      <c r="JQ14" s="1438"/>
      <c r="JR14" s="1438"/>
      <c r="JS14" s="1438"/>
      <c r="JT14" s="1438"/>
      <c r="JU14" s="1438"/>
      <c r="JV14" s="1438"/>
      <c r="JW14" s="1438"/>
      <c r="JX14" s="1438"/>
      <c r="JY14" s="1438"/>
      <c r="JZ14" s="1438"/>
      <c r="KA14" s="1438"/>
      <c r="KC14" s="1433"/>
      <c r="KH14" s="1433"/>
      <c r="KL14" s="1433"/>
      <c r="KP14" s="1433"/>
      <c r="KQ14" s="1475"/>
      <c r="KR14" s="1476"/>
      <c r="KS14" s="1476"/>
      <c r="KT14" s="1476"/>
      <c r="KU14" s="1476"/>
      <c r="KV14" s="1476"/>
      <c r="KW14" s="1476"/>
      <c r="KX14" s="1476"/>
      <c r="KY14" s="1476"/>
      <c r="KZ14" s="1476"/>
      <c r="LA14" s="1476"/>
      <c r="LB14" s="1476"/>
      <c r="LC14" s="1476"/>
      <c r="LD14" s="1476"/>
      <c r="LE14" s="1476"/>
      <c r="LF14" s="1476"/>
      <c r="LG14" s="1476"/>
      <c r="LH14" s="1476"/>
      <c r="LI14" s="1476"/>
      <c r="LJ14" s="1476"/>
      <c r="LK14" s="1476"/>
      <c r="LL14" s="1476"/>
      <c r="LM14" s="1476"/>
      <c r="LN14" s="1477"/>
      <c r="LP14" s="1433"/>
      <c r="LT14" s="1433"/>
      <c r="LY14" s="1433"/>
      <c r="MC14" s="1433"/>
      <c r="MH14" s="1433"/>
      <c r="ML14" s="1433"/>
      <c r="MM14" s="1510" t="s">
        <v>322</v>
      </c>
      <c r="MN14" s="1511"/>
      <c r="MO14" s="1511"/>
      <c r="MP14" s="1511"/>
      <c r="MQ14" s="1511"/>
      <c r="MR14" s="1511"/>
      <c r="MS14" s="1511"/>
      <c r="MT14" s="1511"/>
      <c r="MU14" s="1512"/>
      <c r="MY14" s="1433"/>
      <c r="NB14" s="1438"/>
      <c r="NC14" s="1438"/>
      <c r="ND14" s="1438"/>
      <c r="NE14" s="1438"/>
      <c r="NF14" s="1438"/>
      <c r="NG14" s="1438"/>
      <c r="NH14" s="1438"/>
      <c r="NI14" s="1438"/>
      <c r="NJ14" s="1438"/>
      <c r="NK14" s="1438"/>
      <c r="NL14" s="1438"/>
      <c r="NM14" s="1438"/>
      <c r="NN14" s="1438"/>
      <c r="NO14" s="1438"/>
      <c r="NP14" s="1438"/>
      <c r="NQ14" s="1438"/>
      <c r="NR14" s="1438"/>
      <c r="NS14" s="1438"/>
      <c r="NT14" s="1438"/>
      <c r="NU14" s="1438"/>
      <c r="NV14" s="1438"/>
      <c r="NW14" s="1438"/>
      <c r="NX14" s="1438"/>
      <c r="NY14" s="1438"/>
      <c r="NZ14" s="1438"/>
      <c r="OA14" s="1438"/>
      <c r="OB14" s="1438"/>
      <c r="OC14" s="1438"/>
      <c r="OD14" s="1438"/>
      <c r="OE14" s="1438"/>
      <c r="OF14" s="1438"/>
      <c r="OG14" s="1438"/>
      <c r="OH14" s="1439"/>
      <c r="OI14" s="1440"/>
      <c r="OM14" s="1487"/>
      <c r="ON14" s="1488"/>
      <c r="OO14" s="1488"/>
      <c r="OP14" s="1488"/>
      <c r="OQ14" s="1488"/>
      <c r="OR14" s="1488"/>
      <c r="OS14" s="1488"/>
      <c r="OT14" s="1488"/>
      <c r="OU14" s="1488"/>
      <c r="OV14" s="1488"/>
      <c r="OW14" s="1488"/>
      <c r="OX14" s="1488"/>
      <c r="OY14" s="1488"/>
      <c r="OZ14" s="1488"/>
      <c r="PA14" s="1488"/>
      <c r="PB14" s="1488"/>
      <c r="PC14" s="1488"/>
      <c r="PD14" s="1488"/>
      <c r="PE14" s="1488"/>
      <c r="PF14" s="1488"/>
      <c r="PG14" s="1488"/>
      <c r="PH14" s="1488"/>
      <c r="PI14" s="1488"/>
      <c r="PJ14" s="1488"/>
      <c r="PK14" s="1488"/>
      <c r="PL14" s="1488"/>
      <c r="PM14" s="1488"/>
      <c r="PN14" s="1488"/>
      <c r="PO14" s="1488"/>
      <c r="PP14" s="1488"/>
      <c r="PQ14" s="1489"/>
      <c r="PS14" s="1490"/>
      <c r="PT14" s="1433"/>
      <c r="PW14" s="1434"/>
      <c r="PX14" s="1434"/>
      <c r="PY14" s="1434"/>
      <c r="PZ14" s="1434"/>
      <c r="QA14" s="1434"/>
      <c r="QB14" s="1434"/>
      <c r="QC14" s="1434"/>
      <c r="QD14" s="1434"/>
      <c r="QE14" s="1434"/>
      <c r="QF14" s="1434"/>
      <c r="QG14" s="1434"/>
      <c r="QH14" s="1434"/>
      <c r="QI14" s="1434"/>
      <c r="QJ14" s="1434"/>
      <c r="QK14" s="1434"/>
      <c r="QL14" s="1434"/>
      <c r="QM14" s="1434"/>
      <c r="QN14" s="1434"/>
      <c r="QO14" s="1434"/>
      <c r="QP14" s="1434"/>
      <c r="QQ14" s="1434"/>
      <c r="QR14" s="1434"/>
      <c r="QS14" s="1434"/>
      <c r="QT14" s="1434"/>
      <c r="QU14" s="1434"/>
      <c r="QY14" s="1433"/>
      <c r="RC14" s="1433"/>
      <c r="RG14" s="1432"/>
    </row>
    <row r="15" spans="1:475" s="1431" customFormat="1" ht="19.899999999999999" customHeight="1" x14ac:dyDescent="0.25">
      <c r="B15" s="1575"/>
      <c r="C15" s="1457">
        <f t="shared" si="0"/>
        <v>11</v>
      </c>
      <c r="D15" s="1446"/>
      <c r="E15" s="1447"/>
      <c r="F15" s="1447"/>
      <c r="G15" s="1448"/>
      <c r="H15" s="1447"/>
      <c r="I15" s="1447"/>
      <c r="J15" s="1447"/>
      <c r="K15" s="1447"/>
      <c r="L15" s="1449"/>
      <c r="M15" s="1447"/>
      <c r="N15" s="1447"/>
      <c r="P15" s="1449"/>
      <c r="Q15" s="1447"/>
      <c r="R15" s="1447"/>
      <c r="S15" s="1447"/>
      <c r="T15" s="1449"/>
      <c r="U15" s="1447"/>
      <c r="V15" s="1447"/>
      <c r="W15" s="1434"/>
      <c r="X15" s="1434"/>
      <c r="Y15" s="1434"/>
      <c r="Z15" s="1434"/>
      <c r="AA15" s="1434"/>
      <c r="AB15" s="1434"/>
      <c r="AC15" s="1434"/>
      <c r="AD15" s="1434"/>
      <c r="AE15" s="1434"/>
      <c r="AF15" s="1434"/>
      <c r="AG15" s="1434"/>
      <c r="AH15" s="1434"/>
      <c r="AI15" s="1434"/>
      <c r="AJ15" s="1434"/>
      <c r="AK15" s="1434"/>
      <c r="AL15" s="1434"/>
      <c r="AM15" s="1434"/>
      <c r="AN15" s="1434"/>
      <c r="AO15" s="1434"/>
      <c r="AP15" s="1434"/>
      <c r="AQ15" s="1434"/>
      <c r="AR15" s="1434"/>
      <c r="AS15" s="1434"/>
      <c r="AT15" s="1434"/>
      <c r="AU15" s="1434"/>
      <c r="AX15" s="1438" t="s">
        <v>462</v>
      </c>
      <c r="AY15" s="1438"/>
      <c r="AZ15" s="1438"/>
      <c r="BA15" s="1438"/>
      <c r="BB15" s="1438"/>
      <c r="BC15" s="1438"/>
      <c r="BD15" s="1438"/>
      <c r="BE15" s="1438"/>
      <c r="BF15" s="1438"/>
      <c r="BG15" s="1438"/>
      <c r="BH15" s="1438"/>
      <c r="BI15" s="1438"/>
      <c r="BJ15" s="1438"/>
      <c r="BK15" s="1438"/>
      <c r="BL15" s="1438"/>
      <c r="BM15" s="1438"/>
      <c r="BN15" s="1438"/>
      <c r="BO15" s="1438"/>
      <c r="BP15" s="1438"/>
      <c r="BQ15" s="1438"/>
      <c r="BR15" s="1438"/>
      <c r="BS15" s="1438"/>
      <c r="BT15" s="1438"/>
      <c r="BU15" s="1438"/>
      <c r="BV15" s="1438"/>
      <c r="BW15" s="1438"/>
      <c r="BX15" s="1438"/>
      <c r="BY15" s="1438"/>
      <c r="BZ15" s="1438"/>
      <c r="CA15" s="1438"/>
      <c r="CB15" s="1438"/>
      <c r="CC15" s="1439"/>
      <c r="CH15" s="1519"/>
      <c r="CI15" s="1503"/>
      <c r="CJ15" s="1503"/>
      <c r="CK15" s="1503"/>
      <c r="CL15" s="1503"/>
      <c r="CM15" s="1503"/>
      <c r="CN15" s="1477"/>
      <c r="CO15" s="1477"/>
      <c r="CP15" s="1477"/>
      <c r="CQ15" s="1477"/>
      <c r="CR15" s="1477"/>
      <c r="CS15" s="1477"/>
      <c r="CT15" s="1477"/>
      <c r="CU15" s="1477"/>
      <c r="CY15" s="1433"/>
      <c r="DC15" s="1433"/>
      <c r="DG15" s="1432"/>
      <c r="DL15" s="1433"/>
      <c r="DP15" s="1433"/>
      <c r="DT15" s="1433"/>
      <c r="DY15" s="1433"/>
      <c r="EC15" s="1433"/>
      <c r="EG15" s="1478"/>
      <c r="EH15" s="1479"/>
      <c r="EI15" s="1479"/>
      <c r="EJ15" s="1479"/>
      <c r="EK15" s="1479"/>
      <c r="EL15" s="1479"/>
      <c r="EM15" s="1479"/>
      <c r="EN15" s="1479"/>
      <c r="EO15" s="1479"/>
      <c r="EP15" s="1480"/>
      <c r="ET15" s="1433"/>
      <c r="EY15" s="1433"/>
      <c r="FC15" s="1433"/>
      <c r="FG15" s="1432"/>
      <c r="FL15" s="1433"/>
      <c r="FP15" s="1433"/>
      <c r="FT15" s="1433"/>
      <c r="FY15" s="1433"/>
      <c r="GC15" s="1433"/>
      <c r="GH15" s="1433"/>
      <c r="GI15" s="1464" t="s">
        <v>301</v>
      </c>
      <c r="GJ15" s="1465"/>
      <c r="GK15" s="1465"/>
      <c r="GL15" s="1465"/>
      <c r="GM15" s="1465"/>
      <c r="GN15" s="1465"/>
      <c r="GO15" s="1465"/>
      <c r="GP15" s="1465"/>
      <c r="GQ15" s="1465"/>
      <c r="GR15" s="1465"/>
      <c r="GS15" s="1465"/>
      <c r="GT15" s="1465"/>
      <c r="GU15" s="1465"/>
      <c r="GV15" s="1465"/>
      <c r="GW15" s="1465"/>
      <c r="GX15" s="1465"/>
      <c r="GY15" s="1465"/>
      <c r="GZ15" s="1465"/>
      <c r="HA15" s="1465"/>
      <c r="HB15" s="1465"/>
      <c r="HC15" s="1466"/>
      <c r="HD15" s="1470"/>
      <c r="HE15" s="1470"/>
      <c r="HF15" s="1470"/>
      <c r="HG15" s="1520"/>
      <c r="HH15" s="1470"/>
      <c r="HI15" s="1470"/>
      <c r="HJ15" s="1470"/>
      <c r="HK15" s="1470"/>
      <c r="HL15" s="1521"/>
      <c r="HM15" s="1470"/>
      <c r="HN15" s="1470"/>
      <c r="HO15" s="1470"/>
      <c r="HP15" s="1521"/>
      <c r="HQ15" s="1470"/>
      <c r="HR15" s="1470"/>
      <c r="HT15" s="1433"/>
      <c r="HW15" s="1441"/>
      <c r="HX15" s="1442"/>
      <c r="HY15" s="1442"/>
      <c r="HZ15" s="1442"/>
      <c r="IA15" s="1442"/>
      <c r="IB15" s="1442"/>
      <c r="IC15" s="1442"/>
      <c r="ID15" s="1442"/>
      <c r="IE15" s="1442"/>
      <c r="IF15" s="1442"/>
      <c r="IG15" s="1442"/>
      <c r="IH15" s="1442"/>
      <c r="II15" s="1442"/>
      <c r="IJ15" s="1442"/>
      <c r="IK15" s="1442"/>
      <c r="IL15" s="1442"/>
      <c r="IM15" s="1442"/>
      <c r="IN15" s="1442"/>
      <c r="IO15" s="1442"/>
      <c r="IP15" s="1442"/>
      <c r="IQ15" s="1442"/>
      <c r="IR15" s="1442"/>
      <c r="IS15" s="1442"/>
      <c r="IT15" s="1442"/>
      <c r="IU15" s="1443"/>
      <c r="IX15" s="1438"/>
      <c r="IY15" s="1438"/>
      <c r="IZ15" s="1438"/>
      <c r="JA15" s="1438"/>
      <c r="JB15" s="1438"/>
      <c r="JC15" s="1438"/>
      <c r="JD15" s="1438"/>
      <c r="JE15" s="1438"/>
      <c r="JF15" s="1438"/>
      <c r="JG15" s="1438"/>
      <c r="JH15" s="1438"/>
      <c r="JI15" s="1438"/>
      <c r="JJ15" s="1438"/>
      <c r="JK15" s="1438"/>
      <c r="JL15" s="1438"/>
      <c r="JM15" s="1438"/>
      <c r="JN15" s="1438"/>
      <c r="JO15" s="1438"/>
      <c r="JP15" s="1438"/>
      <c r="JQ15" s="1438"/>
      <c r="JR15" s="1438"/>
      <c r="JS15" s="1438"/>
      <c r="JT15" s="1438"/>
      <c r="JU15" s="1438"/>
      <c r="JV15" s="1438"/>
      <c r="JW15" s="1438"/>
      <c r="JX15" s="1438"/>
      <c r="JY15" s="1438"/>
      <c r="JZ15" s="1438"/>
      <c r="KA15" s="1438"/>
      <c r="KC15" s="1433"/>
      <c r="KH15" s="1433"/>
      <c r="KL15" s="1433"/>
      <c r="KP15" s="1433"/>
      <c r="KQ15" s="1475"/>
      <c r="KR15" s="1476"/>
      <c r="KS15" s="1476"/>
      <c r="KT15" s="1476"/>
      <c r="KU15" s="1476"/>
      <c r="KV15" s="1476"/>
      <c r="KW15" s="1476"/>
      <c r="KX15" s="1476"/>
      <c r="KY15" s="1476"/>
      <c r="KZ15" s="1476"/>
      <c r="LA15" s="1476"/>
      <c r="LB15" s="1476"/>
      <c r="LC15" s="1476"/>
      <c r="LD15" s="1476"/>
      <c r="LE15" s="1476"/>
      <c r="LF15" s="1476"/>
      <c r="LG15" s="1476"/>
      <c r="LH15" s="1476"/>
      <c r="LI15" s="1476"/>
      <c r="LJ15" s="1476"/>
      <c r="LK15" s="1476"/>
      <c r="LL15" s="1476"/>
      <c r="LM15" s="1476"/>
      <c r="LN15" s="1477"/>
      <c r="LP15" s="1433"/>
      <c r="LT15" s="1433"/>
      <c r="LY15" s="1433"/>
      <c r="MC15" s="1433"/>
      <c r="MH15" s="1433"/>
      <c r="ML15" s="1433"/>
      <c r="MP15" s="1510" t="s">
        <v>322</v>
      </c>
      <c r="MQ15" s="1511"/>
      <c r="MR15" s="1511"/>
      <c r="MS15" s="1511"/>
      <c r="MT15" s="1511"/>
      <c r="MU15" s="1511"/>
      <c r="MV15" s="1511"/>
      <c r="MW15" s="1511"/>
      <c r="MX15" s="1511"/>
      <c r="MY15" s="1512"/>
      <c r="NC15" s="1433"/>
      <c r="NG15" s="1432"/>
      <c r="NL15" s="1433"/>
      <c r="NP15" s="1433"/>
      <c r="NT15" s="1433"/>
      <c r="NU15" s="1440"/>
      <c r="NV15" s="1440"/>
      <c r="NW15" s="1440"/>
      <c r="NX15" s="1440"/>
      <c r="NY15" s="1451"/>
      <c r="NZ15" s="1440"/>
      <c r="OA15" s="1440"/>
      <c r="OB15" s="1440"/>
      <c r="OC15" s="1451"/>
      <c r="OD15" s="1440"/>
      <c r="OE15" s="1440"/>
      <c r="OF15" s="1440"/>
      <c r="OG15" s="1440"/>
      <c r="OH15" s="1451"/>
      <c r="OI15" s="1440"/>
      <c r="OM15" s="1487"/>
      <c r="ON15" s="1488"/>
      <c r="OO15" s="1488"/>
      <c r="OP15" s="1488"/>
      <c r="OQ15" s="1488"/>
      <c r="OR15" s="1488"/>
      <c r="OS15" s="1488"/>
      <c r="OT15" s="1488"/>
      <c r="OU15" s="1488"/>
      <c r="OV15" s="1488"/>
      <c r="OW15" s="1488"/>
      <c r="OX15" s="1488"/>
      <c r="OY15" s="1488"/>
      <c r="OZ15" s="1488"/>
      <c r="PA15" s="1488"/>
      <c r="PB15" s="1488"/>
      <c r="PC15" s="1488"/>
      <c r="PD15" s="1488"/>
      <c r="PE15" s="1488"/>
      <c r="PF15" s="1488"/>
      <c r="PG15" s="1488"/>
      <c r="PH15" s="1488"/>
      <c r="PI15" s="1488"/>
      <c r="PJ15" s="1488"/>
      <c r="PK15" s="1488"/>
      <c r="PL15" s="1488"/>
      <c r="PM15" s="1488"/>
      <c r="PN15" s="1488"/>
      <c r="PO15" s="1488"/>
      <c r="PP15" s="1488"/>
      <c r="PQ15" s="1489"/>
      <c r="PS15" s="1490"/>
      <c r="PT15" s="1433"/>
      <c r="PW15" s="1434"/>
      <c r="PX15" s="1434"/>
      <c r="PY15" s="1434"/>
      <c r="PZ15" s="1434"/>
      <c r="QA15" s="1434"/>
      <c r="QB15" s="1434"/>
      <c r="QC15" s="1434"/>
      <c r="QD15" s="1434"/>
      <c r="QE15" s="1434"/>
      <c r="QF15" s="1434"/>
      <c r="QG15" s="1434"/>
      <c r="QH15" s="1434"/>
      <c r="QI15" s="1434"/>
      <c r="QJ15" s="1434"/>
      <c r="QK15" s="1434"/>
      <c r="QL15" s="1434"/>
      <c r="QM15" s="1434"/>
      <c r="QN15" s="1434"/>
      <c r="QO15" s="1434"/>
      <c r="QP15" s="1434"/>
      <c r="QQ15" s="1434"/>
      <c r="QR15" s="1434"/>
      <c r="QS15" s="1434"/>
      <c r="QT15" s="1434"/>
      <c r="QU15" s="1434"/>
      <c r="QY15" s="1433"/>
      <c r="RC15" s="1433"/>
      <c r="RG15" s="1432"/>
    </row>
    <row r="16" spans="1:475" s="1431" customFormat="1" ht="19.899999999999999" customHeight="1" x14ac:dyDescent="0.25">
      <c r="B16" s="1575"/>
      <c r="C16" s="1457">
        <f t="shared" si="0"/>
        <v>12</v>
      </c>
      <c r="D16" s="1430"/>
      <c r="G16" s="1432"/>
      <c r="L16" s="1433"/>
      <c r="M16" s="1447"/>
      <c r="N16" s="1447"/>
      <c r="O16" s="1447"/>
      <c r="P16" s="1449"/>
      <c r="Q16" s="1447"/>
      <c r="R16" s="1447"/>
      <c r="S16" s="1447"/>
      <c r="T16" s="1449"/>
      <c r="U16" s="1447"/>
      <c r="V16" s="1447"/>
      <c r="W16" s="1434"/>
      <c r="X16" s="1434"/>
      <c r="Y16" s="1434"/>
      <c r="Z16" s="1434"/>
      <c r="AA16" s="1434"/>
      <c r="AB16" s="1434"/>
      <c r="AC16" s="1434"/>
      <c r="AD16" s="1434"/>
      <c r="AE16" s="1434"/>
      <c r="AF16" s="1434"/>
      <c r="AG16" s="1434"/>
      <c r="AH16" s="1434"/>
      <c r="AI16" s="1434"/>
      <c r="AJ16" s="1434"/>
      <c r="AK16" s="1434"/>
      <c r="AL16" s="1434"/>
      <c r="AM16" s="1434"/>
      <c r="AN16" s="1434"/>
      <c r="AO16" s="1434"/>
      <c r="AP16" s="1434"/>
      <c r="AQ16" s="1434"/>
      <c r="AR16" s="1434"/>
      <c r="AS16" s="1434"/>
      <c r="AT16" s="1434"/>
      <c r="AU16" s="1434"/>
      <c r="AX16" s="1438"/>
      <c r="AY16" s="1438"/>
      <c r="AZ16" s="1438"/>
      <c r="BA16" s="1438"/>
      <c r="BB16" s="1438"/>
      <c r="BC16" s="1438"/>
      <c r="BD16" s="1438"/>
      <c r="BE16" s="1438"/>
      <c r="BF16" s="1438"/>
      <c r="BG16" s="1438"/>
      <c r="BH16" s="1438"/>
      <c r="BI16" s="1438"/>
      <c r="BJ16" s="1438"/>
      <c r="BK16" s="1438"/>
      <c r="BL16" s="1438"/>
      <c r="BM16" s="1438"/>
      <c r="BN16" s="1438"/>
      <c r="BO16" s="1438"/>
      <c r="BP16" s="1438"/>
      <c r="BQ16" s="1438"/>
      <c r="BR16" s="1438"/>
      <c r="BS16" s="1438"/>
      <c r="BT16" s="1438"/>
      <c r="BU16" s="1438"/>
      <c r="BV16" s="1438"/>
      <c r="BW16" s="1438"/>
      <c r="BX16" s="1438"/>
      <c r="BY16" s="1438"/>
      <c r="BZ16" s="1438"/>
      <c r="CA16" s="1438"/>
      <c r="CB16" s="1438"/>
      <c r="CC16" s="1439"/>
      <c r="CH16" s="1433"/>
      <c r="CL16" s="1433"/>
      <c r="CN16" s="1458" t="s">
        <v>286</v>
      </c>
      <c r="CO16" s="1459"/>
      <c r="CP16" s="1459"/>
      <c r="CQ16" s="1459"/>
      <c r="CR16" s="1459"/>
      <c r="CS16" s="1459"/>
      <c r="CT16" s="1459"/>
      <c r="CU16" s="1459"/>
      <c r="CV16" s="1459"/>
      <c r="CW16" s="1459"/>
      <c r="CX16" s="1459"/>
      <c r="CY16" s="1459"/>
      <c r="CZ16" s="1459"/>
      <c r="DA16" s="1459"/>
      <c r="DB16" s="1459"/>
      <c r="DC16" s="1459"/>
      <c r="DD16" s="1459"/>
      <c r="DE16" s="1459"/>
      <c r="DF16" s="1459"/>
      <c r="DG16" s="1459"/>
      <c r="DH16" s="1459"/>
      <c r="DI16" s="1459"/>
      <c r="DJ16" s="1459"/>
      <c r="DK16" s="1459"/>
      <c r="DL16" s="1459"/>
      <c r="DM16" s="1459"/>
      <c r="DN16" s="1460"/>
      <c r="DP16" s="1433"/>
      <c r="DT16" s="1433"/>
      <c r="DY16" s="1433"/>
      <c r="EC16" s="1433"/>
      <c r="EG16" s="1496"/>
      <c r="EH16" s="1514"/>
      <c r="EI16" s="1514"/>
      <c r="EJ16" s="1514"/>
      <c r="EK16" s="1514"/>
      <c r="EL16" s="1514"/>
      <c r="EM16" s="1479"/>
      <c r="EN16" s="1479"/>
      <c r="EO16" s="1479"/>
      <c r="EP16" s="1480"/>
      <c r="ET16" s="1433"/>
      <c r="EY16" s="1433"/>
      <c r="FC16" s="1433"/>
      <c r="FG16" s="1432"/>
      <c r="FL16" s="1433"/>
      <c r="FP16" s="1433"/>
      <c r="FT16" s="1433"/>
      <c r="FY16" s="1433"/>
      <c r="GC16" s="1433"/>
      <c r="GH16" s="1433"/>
      <c r="GI16" s="1481"/>
      <c r="GJ16" s="1482"/>
      <c r="GK16" s="1482"/>
      <c r="GL16" s="1482"/>
      <c r="GM16" s="1482"/>
      <c r="GN16" s="1482"/>
      <c r="GO16" s="1482"/>
      <c r="GP16" s="1482"/>
      <c r="GQ16" s="1482"/>
      <c r="GR16" s="1482"/>
      <c r="GS16" s="1482"/>
      <c r="GT16" s="1482"/>
      <c r="GU16" s="1482"/>
      <c r="GV16" s="1482"/>
      <c r="GW16" s="1482"/>
      <c r="GX16" s="1482"/>
      <c r="GY16" s="1482"/>
      <c r="GZ16" s="1482"/>
      <c r="HA16" s="1482"/>
      <c r="HB16" s="1482"/>
      <c r="HC16" s="1483"/>
      <c r="HG16" s="1432"/>
      <c r="HL16" s="1433"/>
      <c r="HP16" s="1433"/>
      <c r="HT16" s="1433"/>
      <c r="HW16" s="1441"/>
      <c r="HX16" s="1442"/>
      <c r="HY16" s="1442"/>
      <c r="HZ16" s="1442"/>
      <c r="IA16" s="1442"/>
      <c r="IB16" s="1442"/>
      <c r="IC16" s="1442"/>
      <c r="ID16" s="1442"/>
      <c r="IE16" s="1442"/>
      <c r="IF16" s="1442"/>
      <c r="IG16" s="1442"/>
      <c r="IH16" s="1442"/>
      <c r="II16" s="1442"/>
      <c r="IJ16" s="1442"/>
      <c r="IK16" s="1442"/>
      <c r="IL16" s="1442"/>
      <c r="IM16" s="1442"/>
      <c r="IN16" s="1442"/>
      <c r="IO16" s="1442"/>
      <c r="IP16" s="1442"/>
      <c r="IQ16" s="1442"/>
      <c r="IR16" s="1442"/>
      <c r="IS16" s="1442"/>
      <c r="IT16" s="1442"/>
      <c r="IU16" s="1443"/>
      <c r="IX16" s="1438"/>
      <c r="IY16" s="1438"/>
      <c r="IZ16" s="1438"/>
      <c r="JA16" s="1438"/>
      <c r="JB16" s="1438"/>
      <c r="JC16" s="1438"/>
      <c r="JD16" s="1438"/>
      <c r="JE16" s="1438"/>
      <c r="JF16" s="1438"/>
      <c r="JG16" s="1438"/>
      <c r="JH16" s="1438"/>
      <c r="JI16" s="1438"/>
      <c r="JJ16" s="1438"/>
      <c r="JK16" s="1438"/>
      <c r="JL16" s="1438"/>
      <c r="JM16" s="1438"/>
      <c r="JN16" s="1438"/>
      <c r="JO16" s="1438"/>
      <c r="JP16" s="1438"/>
      <c r="JQ16" s="1438"/>
      <c r="JR16" s="1438"/>
      <c r="JS16" s="1438"/>
      <c r="JT16" s="1438"/>
      <c r="JU16" s="1438"/>
      <c r="JV16" s="1438"/>
      <c r="JW16" s="1438"/>
      <c r="JX16" s="1438"/>
      <c r="JY16" s="1438"/>
      <c r="JZ16" s="1438"/>
      <c r="KA16" s="1438"/>
      <c r="KC16" s="1433"/>
      <c r="KH16" s="1433"/>
      <c r="KL16" s="1433"/>
      <c r="KP16" s="1433"/>
      <c r="KQ16" s="1491"/>
      <c r="KR16" s="1492"/>
      <c r="KS16" s="1492"/>
      <c r="KT16" s="1492"/>
      <c r="KU16" s="1492"/>
      <c r="KV16" s="1492"/>
      <c r="KW16" s="1492"/>
      <c r="KX16" s="1492"/>
      <c r="KY16" s="1492"/>
      <c r="KZ16" s="1492"/>
      <c r="LA16" s="1492"/>
      <c r="LB16" s="1492"/>
      <c r="LC16" s="1492"/>
      <c r="LD16" s="1492"/>
      <c r="LE16" s="1492"/>
      <c r="LF16" s="1492"/>
      <c r="LG16" s="1492"/>
      <c r="LH16" s="1492"/>
      <c r="LI16" s="1492"/>
      <c r="LJ16" s="1492"/>
      <c r="LK16" s="1492"/>
      <c r="LL16" s="1492"/>
      <c r="LM16" s="1492"/>
      <c r="LN16" s="1503"/>
      <c r="LP16" s="1433"/>
      <c r="LT16" s="1433"/>
      <c r="LY16" s="1522" t="s">
        <v>315</v>
      </c>
      <c r="LZ16" s="1523"/>
      <c r="MA16" s="1523"/>
      <c r="MB16" s="1523"/>
      <c r="MC16" s="1523"/>
      <c r="MD16" s="1523"/>
      <c r="ME16" s="1523"/>
      <c r="MF16" s="1523"/>
      <c r="MG16" s="1523"/>
      <c r="MH16" s="1523"/>
      <c r="MI16" s="1523"/>
      <c r="MJ16" s="1523"/>
      <c r="MK16" s="1524"/>
      <c r="ML16" s="1433"/>
      <c r="MP16" s="1433"/>
      <c r="MT16" s="1433"/>
      <c r="MY16" s="1433"/>
      <c r="NC16" s="1433"/>
      <c r="NG16" s="1432"/>
      <c r="NL16" s="1433"/>
      <c r="NP16" s="1433"/>
      <c r="NT16" s="1433"/>
      <c r="NU16" s="1440"/>
      <c r="NV16" s="1440"/>
      <c r="NW16" s="1440"/>
      <c r="NX16" s="1440"/>
      <c r="NY16" s="1451"/>
      <c r="NZ16" s="1440"/>
      <c r="OA16" s="1440"/>
      <c r="OB16" s="1440"/>
      <c r="OC16" s="1451"/>
      <c r="OD16" s="1440"/>
      <c r="OE16" s="1440"/>
      <c r="OF16" s="1440"/>
      <c r="OG16" s="1440"/>
      <c r="OH16" s="1451"/>
      <c r="OI16" s="1440"/>
      <c r="OM16" s="1487"/>
      <c r="ON16" s="1488"/>
      <c r="OO16" s="1488"/>
      <c r="OP16" s="1488"/>
      <c r="OQ16" s="1488"/>
      <c r="OR16" s="1488"/>
      <c r="OS16" s="1488"/>
      <c r="OT16" s="1488"/>
      <c r="OU16" s="1488"/>
      <c r="OV16" s="1488"/>
      <c r="OW16" s="1488"/>
      <c r="OX16" s="1488"/>
      <c r="OY16" s="1488"/>
      <c r="OZ16" s="1488"/>
      <c r="PA16" s="1488"/>
      <c r="PB16" s="1488"/>
      <c r="PC16" s="1488"/>
      <c r="PD16" s="1488"/>
      <c r="PE16" s="1488"/>
      <c r="PF16" s="1488"/>
      <c r="PG16" s="1488"/>
      <c r="PH16" s="1488"/>
      <c r="PI16" s="1488"/>
      <c r="PJ16" s="1488"/>
      <c r="PK16" s="1488"/>
      <c r="PL16" s="1488"/>
      <c r="PM16" s="1488"/>
      <c r="PN16" s="1488"/>
      <c r="PO16" s="1488"/>
      <c r="PP16" s="1488"/>
      <c r="PQ16" s="1489"/>
      <c r="PS16" s="1490"/>
      <c r="PT16" s="1433"/>
      <c r="PW16" s="1434"/>
      <c r="PX16" s="1434"/>
      <c r="PY16" s="1434"/>
      <c r="PZ16" s="1434"/>
      <c r="QA16" s="1434"/>
      <c r="QB16" s="1434"/>
      <c r="QC16" s="1434"/>
      <c r="QD16" s="1434"/>
      <c r="QE16" s="1434"/>
      <c r="QF16" s="1434"/>
      <c r="QG16" s="1434"/>
      <c r="QH16" s="1434"/>
      <c r="QI16" s="1434"/>
      <c r="QJ16" s="1434"/>
      <c r="QK16" s="1434"/>
      <c r="QL16" s="1434"/>
      <c r="QM16" s="1434"/>
      <c r="QN16" s="1434"/>
      <c r="QO16" s="1434"/>
      <c r="QP16" s="1434"/>
      <c r="QQ16" s="1434"/>
      <c r="QR16" s="1434"/>
      <c r="QS16" s="1434"/>
      <c r="QT16" s="1434"/>
      <c r="QU16" s="1434"/>
      <c r="QY16" s="1433"/>
      <c r="RC16" s="1433"/>
      <c r="RG16" s="1432"/>
    </row>
    <row r="17" spans="2:475" s="1431" customFormat="1" ht="19.899999999999999" customHeight="1" x14ac:dyDescent="0.25">
      <c r="B17" s="1575"/>
      <c r="C17" s="1457">
        <f t="shared" si="0"/>
        <v>13</v>
      </c>
      <c r="D17" s="1430"/>
      <c r="G17" s="1432"/>
      <c r="L17" s="1433"/>
      <c r="P17" s="1433"/>
      <c r="T17" s="1433"/>
      <c r="W17" s="1434"/>
      <c r="X17" s="1434"/>
      <c r="Y17" s="1434"/>
      <c r="Z17" s="1434"/>
      <c r="AA17" s="1434"/>
      <c r="AB17" s="1434"/>
      <c r="AC17" s="1434"/>
      <c r="AD17" s="1434"/>
      <c r="AE17" s="1434"/>
      <c r="AF17" s="1434"/>
      <c r="AG17" s="1434"/>
      <c r="AH17" s="1434"/>
      <c r="AI17" s="1434"/>
      <c r="AJ17" s="1434"/>
      <c r="AK17" s="1434"/>
      <c r="AL17" s="1434"/>
      <c r="AM17" s="1434"/>
      <c r="AN17" s="1434"/>
      <c r="AO17" s="1434"/>
      <c r="AP17" s="1434"/>
      <c r="AQ17" s="1434"/>
      <c r="AR17" s="1434"/>
      <c r="AS17" s="1434"/>
      <c r="AT17" s="1434"/>
      <c r="AU17" s="1434"/>
      <c r="AX17" s="1438"/>
      <c r="AY17" s="1438"/>
      <c r="AZ17" s="1438"/>
      <c r="BA17" s="1438"/>
      <c r="BB17" s="1438"/>
      <c r="BC17" s="1438"/>
      <c r="BD17" s="1438"/>
      <c r="BE17" s="1438"/>
      <c r="BF17" s="1438"/>
      <c r="BG17" s="1438"/>
      <c r="BH17" s="1438"/>
      <c r="BI17" s="1438"/>
      <c r="BJ17" s="1438"/>
      <c r="BK17" s="1438"/>
      <c r="BL17" s="1438"/>
      <c r="BM17" s="1438"/>
      <c r="BN17" s="1438"/>
      <c r="BO17" s="1438"/>
      <c r="BP17" s="1438"/>
      <c r="BQ17" s="1438"/>
      <c r="BR17" s="1438"/>
      <c r="BS17" s="1438"/>
      <c r="BT17" s="1438"/>
      <c r="BU17" s="1438"/>
      <c r="BV17" s="1438"/>
      <c r="BW17" s="1438"/>
      <c r="BX17" s="1438"/>
      <c r="BY17" s="1438"/>
      <c r="BZ17" s="1438"/>
      <c r="CA17" s="1438"/>
      <c r="CB17" s="1438"/>
      <c r="CC17" s="1439"/>
      <c r="CH17" s="1433"/>
      <c r="CL17" s="1433"/>
      <c r="CN17" s="1475"/>
      <c r="CO17" s="1476"/>
      <c r="CP17" s="1476"/>
      <c r="CQ17" s="1476"/>
      <c r="CR17" s="1476"/>
      <c r="CS17" s="1476"/>
      <c r="CT17" s="1476"/>
      <c r="CU17" s="1476"/>
      <c r="CV17" s="1476"/>
      <c r="CW17" s="1476"/>
      <c r="CX17" s="1476"/>
      <c r="CY17" s="1476"/>
      <c r="CZ17" s="1476"/>
      <c r="DA17" s="1476"/>
      <c r="DB17" s="1476"/>
      <c r="DC17" s="1476"/>
      <c r="DD17" s="1476"/>
      <c r="DE17" s="1476"/>
      <c r="DF17" s="1476"/>
      <c r="DG17" s="1476"/>
      <c r="DH17" s="1476"/>
      <c r="DI17" s="1476"/>
      <c r="DJ17" s="1476"/>
      <c r="DK17" s="1476"/>
      <c r="DL17" s="1476"/>
      <c r="DM17" s="1476"/>
      <c r="DN17" s="1477"/>
      <c r="DP17" s="1433"/>
      <c r="DT17" s="1433"/>
      <c r="DY17" s="1433"/>
      <c r="EC17" s="1433"/>
      <c r="EH17" s="1433"/>
      <c r="EL17" s="1433"/>
      <c r="EM17" s="1461" t="s">
        <v>308</v>
      </c>
      <c r="EN17" s="1462"/>
      <c r="EO17" s="1462"/>
      <c r="EP17" s="1462"/>
      <c r="EQ17" s="1462"/>
      <c r="ER17" s="1462"/>
      <c r="ES17" s="1462"/>
      <c r="ET17" s="1462"/>
      <c r="EU17" s="1463"/>
      <c r="EY17" s="1433"/>
      <c r="FC17" s="1433"/>
      <c r="FG17" s="1432"/>
      <c r="FL17" s="1433"/>
      <c r="FP17" s="1433"/>
      <c r="FT17" s="1433"/>
      <c r="FY17" s="1433"/>
      <c r="GC17" s="1433"/>
      <c r="GH17" s="1433"/>
      <c r="GI17" s="1516"/>
      <c r="GJ17" s="1517"/>
      <c r="GK17" s="1517"/>
      <c r="GL17" s="1517"/>
      <c r="GM17" s="1517"/>
      <c r="GN17" s="1517"/>
      <c r="GO17" s="1517"/>
      <c r="GP17" s="1517"/>
      <c r="GQ17" s="1517"/>
      <c r="GR17" s="1517"/>
      <c r="GS17" s="1517"/>
      <c r="GT17" s="1517"/>
      <c r="GU17" s="1517"/>
      <c r="GV17" s="1517"/>
      <c r="GW17" s="1517"/>
      <c r="GX17" s="1517"/>
      <c r="GY17" s="1517"/>
      <c r="GZ17" s="1517"/>
      <c r="HA17" s="1517"/>
      <c r="HB17" s="1517"/>
      <c r="HC17" s="1518"/>
      <c r="HG17" s="1432"/>
      <c r="HL17" s="1433"/>
      <c r="HP17" s="1433"/>
      <c r="HT17" s="1433"/>
      <c r="HW17" s="1441"/>
      <c r="HX17" s="1442"/>
      <c r="HY17" s="1442"/>
      <c r="HZ17" s="1442"/>
      <c r="IA17" s="1442"/>
      <c r="IB17" s="1442"/>
      <c r="IC17" s="1442"/>
      <c r="ID17" s="1442"/>
      <c r="IE17" s="1442"/>
      <c r="IF17" s="1442"/>
      <c r="IG17" s="1442"/>
      <c r="IH17" s="1442"/>
      <c r="II17" s="1442"/>
      <c r="IJ17" s="1442"/>
      <c r="IK17" s="1442"/>
      <c r="IL17" s="1442"/>
      <c r="IM17" s="1442"/>
      <c r="IN17" s="1442"/>
      <c r="IO17" s="1442"/>
      <c r="IP17" s="1442"/>
      <c r="IQ17" s="1442"/>
      <c r="IR17" s="1442"/>
      <c r="IS17" s="1442"/>
      <c r="IT17" s="1442"/>
      <c r="IU17" s="1443"/>
      <c r="IX17" s="1438"/>
      <c r="IY17" s="1438"/>
      <c r="IZ17" s="1438"/>
      <c r="JA17" s="1438"/>
      <c r="JB17" s="1438"/>
      <c r="JC17" s="1438"/>
      <c r="JD17" s="1438"/>
      <c r="JE17" s="1438"/>
      <c r="JF17" s="1438"/>
      <c r="JG17" s="1438"/>
      <c r="JH17" s="1438"/>
      <c r="JI17" s="1438"/>
      <c r="JJ17" s="1438"/>
      <c r="JK17" s="1438"/>
      <c r="JL17" s="1438"/>
      <c r="JM17" s="1438"/>
      <c r="JN17" s="1438"/>
      <c r="JO17" s="1438"/>
      <c r="JP17" s="1438"/>
      <c r="JQ17" s="1438"/>
      <c r="JR17" s="1438"/>
      <c r="JS17" s="1438"/>
      <c r="JT17" s="1438"/>
      <c r="JU17" s="1438"/>
      <c r="JV17" s="1438"/>
      <c r="JW17" s="1438"/>
      <c r="JX17" s="1438"/>
      <c r="JY17" s="1438"/>
      <c r="JZ17" s="1438"/>
      <c r="KA17" s="1438"/>
      <c r="KC17" s="1433"/>
      <c r="KH17" s="1433"/>
      <c r="KL17" s="1433"/>
      <c r="KM17" s="1475" t="s">
        <v>319</v>
      </c>
      <c r="KN17" s="1476"/>
      <c r="KO17" s="1476"/>
      <c r="KP17" s="1476"/>
      <c r="KQ17" s="1476"/>
      <c r="KR17" s="1476"/>
      <c r="KS17" s="1476"/>
      <c r="KT17" s="1476"/>
      <c r="KU17" s="1476"/>
      <c r="KV17" s="1476"/>
      <c r="KW17" s="1476"/>
      <c r="KX17" s="1476"/>
      <c r="KY17" s="1433"/>
      <c r="LC17" s="1433"/>
      <c r="LG17" s="1432"/>
      <c r="LL17" s="1433"/>
      <c r="LP17" s="1433"/>
      <c r="LT17" s="1433"/>
      <c r="LY17" s="1525"/>
      <c r="LZ17" s="1526"/>
      <c r="MA17" s="1526"/>
      <c r="MB17" s="1526"/>
      <c r="MC17" s="1526"/>
      <c r="MD17" s="1526"/>
      <c r="ME17" s="1526"/>
      <c r="MF17" s="1526"/>
      <c r="MG17" s="1526"/>
      <c r="MH17" s="1526"/>
      <c r="MI17" s="1526"/>
      <c r="MJ17" s="1526"/>
      <c r="MK17" s="1527"/>
      <c r="ML17" s="1433"/>
      <c r="MP17" s="1433"/>
      <c r="MT17" s="1433"/>
      <c r="MY17" s="1433"/>
      <c r="NC17" s="1433"/>
      <c r="NG17" s="1432"/>
      <c r="NL17" s="1433"/>
      <c r="NP17" s="1433"/>
      <c r="NT17" s="1433"/>
      <c r="NU17" s="1440"/>
      <c r="NV17" s="1440"/>
      <c r="NW17" s="1440"/>
      <c r="NX17" s="1440"/>
      <c r="NY17" s="1451"/>
      <c r="NZ17" s="1440"/>
      <c r="OA17" s="1440"/>
      <c r="OB17" s="1440"/>
      <c r="OC17" s="1451"/>
      <c r="OD17" s="1440"/>
      <c r="OE17" s="1440"/>
      <c r="OF17" s="1440"/>
      <c r="OG17" s="1440"/>
      <c r="OH17" s="1451"/>
      <c r="OI17" s="1440"/>
      <c r="OM17" s="1487"/>
      <c r="ON17" s="1488"/>
      <c r="OO17" s="1488"/>
      <c r="OP17" s="1488"/>
      <c r="OQ17" s="1488"/>
      <c r="OR17" s="1488"/>
      <c r="OS17" s="1488"/>
      <c r="OT17" s="1488"/>
      <c r="OU17" s="1488"/>
      <c r="OV17" s="1488"/>
      <c r="OW17" s="1488"/>
      <c r="OX17" s="1488"/>
      <c r="OY17" s="1488"/>
      <c r="OZ17" s="1488"/>
      <c r="PA17" s="1488"/>
      <c r="PB17" s="1488"/>
      <c r="PC17" s="1488"/>
      <c r="PD17" s="1488"/>
      <c r="PE17" s="1488"/>
      <c r="PF17" s="1488"/>
      <c r="PG17" s="1488"/>
      <c r="PH17" s="1488"/>
      <c r="PI17" s="1488"/>
      <c r="PJ17" s="1488"/>
      <c r="PK17" s="1488"/>
      <c r="PL17" s="1488"/>
      <c r="PM17" s="1488"/>
      <c r="PN17" s="1488"/>
      <c r="PO17" s="1488"/>
      <c r="PP17" s="1488"/>
      <c r="PQ17" s="1489"/>
      <c r="PS17" s="1490"/>
      <c r="PT17" s="1433"/>
      <c r="PW17" s="1434"/>
      <c r="PX17" s="1434"/>
      <c r="PY17" s="1434"/>
      <c r="PZ17" s="1434"/>
      <c r="QA17" s="1434"/>
      <c r="QB17" s="1434"/>
      <c r="QC17" s="1434"/>
      <c r="QD17" s="1434"/>
      <c r="QE17" s="1434"/>
      <c r="QF17" s="1434"/>
      <c r="QG17" s="1434"/>
      <c r="QH17" s="1434"/>
      <c r="QI17" s="1434"/>
      <c r="QJ17" s="1434"/>
      <c r="QK17" s="1434"/>
      <c r="QL17" s="1434"/>
      <c r="QM17" s="1434"/>
      <c r="QN17" s="1434"/>
      <c r="QO17" s="1434"/>
      <c r="QP17" s="1434"/>
      <c r="QQ17" s="1434"/>
      <c r="QR17" s="1434"/>
      <c r="QS17" s="1434"/>
      <c r="QT17" s="1434"/>
      <c r="QU17" s="1434"/>
      <c r="QY17" s="1433"/>
      <c r="RC17" s="1433"/>
      <c r="RG17" s="1432"/>
    </row>
    <row r="18" spans="2:475" s="1431" customFormat="1" ht="19.899999999999999" customHeight="1" x14ac:dyDescent="0.25">
      <c r="B18" s="1575"/>
      <c r="C18" s="1457">
        <f t="shared" si="0"/>
        <v>14</v>
      </c>
      <c r="D18" s="1430"/>
      <c r="G18" s="1432"/>
      <c r="L18" s="1433"/>
      <c r="P18" s="1433"/>
      <c r="T18" s="1433"/>
      <c r="V18" s="1447"/>
      <c r="W18" s="1434"/>
      <c r="X18" s="1434"/>
      <c r="Y18" s="1434"/>
      <c r="Z18" s="1434"/>
      <c r="AA18" s="1434"/>
      <c r="AB18" s="1434"/>
      <c r="AC18" s="1434"/>
      <c r="AD18" s="1434"/>
      <c r="AE18" s="1434"/>
      <c r="AF18" s="1434"/>
      <c r="AG18" s="1434"/>
      <c r="AH18" s="1434"/>
      <c r="AI18" s="1434"/>
      <c r="AJ18" s="1434"/>
      <c r="AK18" s="1434"/>
      <c r="AL18" s="1434"/>
      <c r="AM18" s="1434"/>
      <c r="AN18" s="1434"/>
      <c r="AO18" s="1434"/>
      <c r="AP18" s="1434"/>
      <c r="AQ18" s="1434"/>
      <c r="AR18" s="1434"/>
      <c r="AS18" s="1434"/>
      <c r="AT18" s="1434"/>
      <c r="AU18" s="1434"/>
      <c r="AX18" s="1438"/>
      <c r="AY18" s="1438"/>
      <c r="AZ18" s="1438"/>
      <c r="BA18" s="1438"/>
      <c r="BB18" s="1438"/>
      <c r="BC18" s="1438"/>
      <c r="BD18" s="1438"/>
      <c r="BE18" s="1438"/>
      <c r="BF18" s="1438"/>
      <c r="BG18" s="1438"/>
      <c r="BH18" s="1438"/>
      <c r="BI18" s="1438"/>
      <c r="BJ18" s="1438"/>
      <c r="BK18" s="1438"/>
      <c r="BL18" s="1438"/>
      <c r="BM18" s="1438"/>
      <c r="BN18" s="1438"/>
      <c r="BO18" s="1438"/>
      <c r="BP18" s="1438"/>
      <c r="BQ18" s="1438"/>
      <c r="BR18" s="1438"/>
      <c r="BS18" s="1438"/>
      <c r="BT18" s="1438"/>
      <c r="BU18" s="1438"/>
      <c r="BV18" s="1438"/>
      <c r="BW18" s="1438"/>
      <c r="BX18" s="1438"/>
      <c r="BY18" s="1438"/>
      <c r="BZ18" s="1438"/>
      <c r="CA18" s="1438"/>
      <c r="CB18" s="1438"/>
      <c r="CC18" s="1439"/>
      <c r="CH18" s="1433"/>
      <c r="CL18" s="1433"/>
      <c r="CN18" s="1475"/>
      <c r="CO18" s="1476"/>
      <c r="CP18" s="1476"/>
      <c r="CQ18" s="1476"/>
      <c r="CR18" s="1476"/>
      <c r="CS18" s="1476"/>
      <c r="CT18" s="1476"/>
      <c r="CU18" s="1476"/>
      <c r="CV18" s="1476"/>
      <c r="CW18" s="1476"/>
      <c r="CX18" s="1476"/>
      <c r="CY18" s="1476"/>
      <c r="CZ18" s="1476"/>
      <c r="DA18" s="1476"/>
      <c r="DB18" s="1476"/>
      <c r="DC18" s="1476"/>
      <c r="DD18" s="1476"/>
      <c r="DE18" s="1476"/>
      <c r="DF18" s="1476"/>
      <c r="DG18" s="1476"/>
      <c r="DH18" s="1476"/>
      <c r="DI18" s="1476"/>
      <c r="DJ18" s="1476"/>
      <c r="DK18" s="1476"/>
      <c r="DL18" s="1476"/>
      <c r="DM18" s="1476"/>
      <c r="DN18" s="1477"/>
      <c r="DP18" s="1433"/>
      <c r="DT18" s="1433"/>
      <c r="DY18" s="1433"/>
      <c r="EC18" s="1433"/>
      <c r="EH18" s="1433"/>
      <c r="EL18" s="1433"/>
      <c r="EM18" s="1478"/>
      <c r="EN18" s="1479"/>
      <c r="EO18" s="1479"/>
      <c r="EP18" s="1479"/>
      <c r="EQ18" s="1479"/>
      <c r="ER18" s="1479"/>
      <c r="ES18" s="1479"/>
      <c r="ET18" s="1479"/>
      <c r="EU18" s="1480"/>
      <c r="EY18" s="1433"/>
      <c r="FC18" s="1433"/>
      <c r="FG18" s="1432"/>
      <c r="FL18" s="1433"/>
      <c r="FP18" s="1528" t="s">
        <v>302</v>
      </c>
      <c r="FQ18" s="1529"/>
      <c r="FR18" s="1529"/>
      <c r="FS18" s="1529"/>
      <c r="FT18" s="1465"/>
      <c r="FU18" s="1465"/>
      <c r="FV18" s="1465"/>
      <c r="FW18" s="1465"/>
      <c r="FX18" s="1465"/>
      <c r="FY18" s="1465"/>
      <c r="FZ18" s="1465"/>
      <c r="GA18" s="1465"/>
      <c r="GB18" s="1465"/>
      <c r="GC18" s="1466"/>
      <c r="GH18" s="1433"/>
      <c r="GL18" s="1433"/>
      <c r="GP18" s="1433"/>
      <c r="GT18" s="1433"/>
      <c r="GY18" s="1433"/>
      <c r="HC18" s="1433"/>
      <c r="HG18" s="1432"/>
      <c r="HL18" s="1433"/>
      <c r="HP18" s="1433"/>
      <c r="HT18" s="1433"/>
      <c r="HW18" s="1441"/>
      <c r="HX18" s="1442"/>
      <c r="HY18" s="1442"/>
      <c r="HZ18" s="1442"/>
      <c r="IA18" s="1442"/>
      <c r="IB18" s="1442"/>
      <c r="IC18" s="1442"/>
      <c r="ID18" s="1442"/>
      <c r="IE18" s="1442"/>
      <c r="IF18" s="1442"/>
      <c r="IG18" s="1442"/>
      <c r="IH18" s="1442"/>
      <c r="II18" s="1442"/>
      <c r="IJ18" s="1442"/>
      <c r="IK18" s="1442"/>
      <c r="IL18" s="1442"/>
      <c r="IM18" s="1442"/>
      <c r="IN18" s="1442"/>
      <c r="IO18" s="1442"/>
      <c r="IP18" s="1442"/>
      <c r="IQ18" s="1442"/>
      <c r="IR18" s="1442"/>
      <c r="IS18" s="1442"/>
      <c r="IT18" s="1442"/>
      <c r="IU18" s="1443"/>
      <c r="IX18" s="1438"/>
      <c r="IY18" s="1438"/>
      <c r="IZ18" s="1438"/>
      <c r="JA18" s="1438"/>
      <c r="JB18" s="1438"/>
      <c r="JC18" s="1438"/>
      <c r="JD18" s="1438"/>
      <c r="JE18" s="1438"/>
      <c r="JF18" s="1438"/>
      <c r="JG18" s="1438"/>
      <c r="JH18" s="1438"/>
      <c r="JI18" s="1438"/>
      <c r="JJ18" s="1438"/>
      <c r="JK18" s="1438"/>
      <c r="JL18" s="1438"/>
      <c r="JM18" s="1438"/>
      <c r="JN18" s="1438"/>
      <c r="JO18" s="1438"/>
      <c r="JP18" s="1438"/>
      <c r="JQ18" s="1438"/>
      <c r="JR18" s="1438"/>
      <c r="JS18" s="1438"/>
      <c r="JT18" s="1438"/>
      <c r="JU18" s="1438"/>
      <c r="JV18" s="1438"/>
      <c r="JW18" s="1438"/>
      <c r="JX18" s="1438"/>
      <c r="JY18" s="1438"/>
      <c r="JZ18" s="1438"/>
      <c r="KA18" s="1438"/>
      <c r="KC18" s="1433"/>
      <c r="KH18" s="1433"/>
      <c r="KL18" s="1433"/>
      <c r="KM18" s="1475"/>
      <c r="KN18" s="1476"/>
      <c r="KO18" s="1476"/>
      <c r="KP18" s="1476"/>
      <c r="KQ18" s="1476"/>
      <c r="KR18" s="1476"/>
      <c r="KS18" s="1476"/>
      <c r="KT18" s="1476"/>
      <c r="KU18" s="1476"/>
      <c r="KV18" s="1476"/>
      <c r="KW18" s="1476"/>
      <c r="KX18" s="1476"/>
      <c r="KY18" s="1433"/>
      <c r="LC18" s="1433"/>
      <c r="LG18" s="1432"/>
      <c r="LL18" s="1433"/>
      <c r="LP18" s="1433"/>
      <c r="LT18" s="1433"/>
      <c r="LY18" s="1530"/>
      <c r="LZ18" s="1531"/>
      <c r="MA18" s="1531"/>
      <c r="MB18" s="1531"/>
      <c r="MC18" s="1531"/>
      <c r="MD18" s="1531"/>
      <c r="ME18" s="1531"/>
      <c r="MF18" s="1531"/>
      <c r="MG18" s="1531"/>
      <c r="MH18" s="1531"/>
      <c r="MI18" s="1531"/>
      <c r="MJ18" s="1531"/>
      <c r="MK18" s="1532"/>
      <c r="ML18" s="1433"/>
      <c r="MP18" s="1433"/>
      <c r="MT18" s="1433"/>
      <c r="MY18" s="1433"/>
      <c r="NC18" s="1433"/>
      <c r="NG18" s="1432"/>
      <c r="NL18" s="1433"/>
      <c r="NP18" s="1433"/>
      <c r="NT18" s="1433"/>
      <c r="NU18" s="1440"/>
      <c r="NV18" s="1440"/>
      <c r="NW18" s="1440"/>
      <c r="NX18" s="1440"/>
      <c r="NY18" s="1451"/>
      <c r="NZ18" s="1440"/>
      <c r="OA18" s="1440"/>
      <c r="OB18" s="1440"/>
      <c r="OC18" s="1451"/>
      <c r="OD18" s="1440"/>
      <c r="OE18" s="1440"/>
      <c r="OF18" s="1440"/>
      <c r="OG18" s="1440"/>
      <c r="OH18" s="1451"/>
      <c r="OI18" s="1440"/>
      <c r="OM18" s="1533"/>
      <c r="ON18" s="1534"/>
      <c r="OO18" s="1534"/>
      <c r="OP18" s="1534"/>
      <c r="OQ18" s="1534"/>
      <c r="OR18" s="1534"/>
      <c r="OS18" s="1534"/>
      <c r="OT18" s="1534"/>
      <c r="OU18" s="1534"/>
      <c r="OV18" s="1534"/>
      <c r="OW18" s="1534"/>
      <c r="OX18" s="1534"/>
      <c r="OY18" s="1534"/>
      <c r="OZ18" s="1534"/>
      <c r="PA18" s="1534"/>
      <c r="PB18" s="1534"/>
      <c r="PC18" s="1534"/>
      <c r="PD18" s="1534"/>
      <c r="PE18" s="1534"/>
      <c r="PF18" s="1534"/>
      <c r="PG18" s="1534"/>
      <c r="PH18" s="1534"/>
      <c r="PI18" s="1534"/>
      <c r="PJ18" s="1534"/>
      <c r="PK18" s="1534"/>
      <c r="PL18" s="1534"/>
      <c r="PM18" s="1534"/>
      <c r="PN18" s="1534"/>
      <c r="PO18" s="1534"/>
      <c r="PP18" s="1534"/>
      <c r="PQ18" s="1535"/>
      <c r="PS18" s="1490"/>
      <c r="PT18" s="1433"/>
      <c r="PW18" s="1434"/>
      <c r="PX18" s="1434"/>
      <c r="PY18" s="1434"/>
      <c r="PZ18" s="1434"/>
      <c r="QA18" s="1434"/>
      <c r="QB18" s="1434"/>
      <c r="QC18" s="1434"/>
      <c r="QD18" s="1434"/>
      <c r="QE18" s="1434"/>
      <c r="QF18" s="1434"/>
      <c r="QG18" s="1434"/>
      <c r="QH18" s="1434"/>
      <c r="QI18" s="1434"/>
      <c r="QJ18" s="1434"/>
      <c r="QK18" s="1434"/>
      <c r="QL18" s="1434"/>
      <c r="QM18" s="1434"/>
      <c r="QN18" s="1434"/>
      <c r="QO18" s="1434"/>
      <c r="QP18" s="1434"/>
      <c r="QQ18" s="1434"/>
      <c r="QR18" s="1434"/>
      <c r="QS18" s="1434"/>
      <c r="QT18" s="1434"/>
      <c r="QU18" s="1434"/>
      <c r="QY18" s="1433"/>
      <c r="RC18" s="1433"/>
      <c r="RG18" s="1432"/>
    </row>
    <row r="19" spans="2:475" s="1431" customFormat="1" ht="19.899999999999999" customHeight="1" x14ac:dyDescent="0.25">
      <c r="B19" s="1575"/>
      <c r="C19" s="1457">
        <f t="shared" si="0"/>
        <v>15</v>
      </c>
      <c r="D19" s="1430"/>
      <c r="G19" s="1432"/>
      <c r="L19" s="1433"/>
      <c r="P19" s="1433"/>
      <c r="T19" s="1433"/>
      <c r="W19" s="1434"/>
      <c r="X19" s="1434"/>
      <c r="Y19" s="1434"/>
      <c r="Z19" s="1434"/>
      <c r="AA19" s="1434"/>
      <c r="AB19" s="1434"/>
      <c r="AC19" s="1434"/>
      <c r="AD19" s="1434"/>
      <c r="AE19" s="1434"/>
      <c r="AF19" s="1434"/>
      <c r="AG19" s="1434"/>
      <c r="AH19" s="1434"/>
      <c r="AI19" s="1434"/>
      <c r="AJ19" s="1434"/>
      <c r="AK19" s="1434"/>
      <c r="AL19" s="1434"/>
      <c r="AM19" s="1434"/>
      <c r="AN19" s="1434"/>
      <c r="AO19" s="1434"/>
      <c r="AP19" s="1434"/>
      <c r="AQ19" s="1434"/>
      <c r="AR19" s="1434"/>
      <c r="AS19" s="1434"/>
      <c r="AT19" s="1434"/>
      <c r="AU19" s="1434"/>
      <c r="AX19" s="1438"/>
      <c r="AY19" s="1438"/>
      <c r="AZ19" s="1438"/>
      <c r="BA19" s="1438"/>
      <c r="BB19" s="1438"/>
      <c r="BC19" s="1438"/>
      <c r="BD19" s="1438"/>
      <c r="BE19" s="1438"/>
      <c r="BF19" s="1438"/>
      <c r="BG19" s="1438"/>
      <c r="BH19" s="1438"/>
      <c r="BI19" s="1438"/>
      <c r="BJ19" s="1438"/>
      <c r="BK19" s="1438"/>
      <c r="BL19" s="1438"/>
      <c r="BM19" s="1438"/>
      <c r="BN19" s="1438"/>
      <c r="BO19" s="1438"/>
      <c r="BP19" s="1438"/>
      <c r="BQ19" s="1438"/>
      <c r="BR19" s="1438"/>
      <c r="BS19" s="1438"/>
      <c r="BT19" s="1438"/>
      <c r="BU19" s="1438"/>
      <c r="BV19" s="1438"/>
      <c r="BW19" s="1438"/>
      <c r="BX19" s="1438"/>
      <c r="BY19" s="1438"/>
      <c r="BZ19" s="1438"/>
      <c r="CA19" s="1438"/>
      <c r="CB19" s="1438"/>
      <c r="CC19" s="1439"/>
      <c r="CH19" s="1433"/>
      <c r="CL19" s="1433"/>
      <c r="CN19" s="1491"/>
      <c r="CO19" s="1492"/>
      <c r="CP19" s="1492"/>
      <c r="CQ19" s="1492"/>
      <c r="CR19" s="1492"/>
      <c r="CS19" s="1492"/>
      <c r="CT19" s="1492"/>
      <c r="CU19" s="1492"/>
      <c r="CV19" s="1492"/>
      <c r="CW19" s="1492"/>
      <c r="CX19" s="1492"/>
      <c r="CY19" s="1492"/>
      <c r="CZ19" s="1492"/>
      <c r="DA19" s="1492"/>
      <c r="DB19" s="1492"/>
      <c r="DC19" s="1492"/>
      <c r="DD19" s="1492"/>
      <c r="DE19" s="1492"/>
      <c r="DF19" s="1492"/>
      <c r="DG19" s="1492"/>
      <c r="DH19" s="1492"/>
      <c r="DI19" s="1492"/>
      <c r="DJ19" s="1492"/>
      <c r="DK19" s="1492"/>
      <c r="DL19" s="1492"/>
      <c r="DM19" s="1492"/>
      <c r="DN19" s="1503"/>
      <c r="DP19" s="1433"/>
      <c r="DT19" s="1433"/>
      <c r="DY19" s="1433"/>
      <c r="EC19" s="1433"/>
      <c r="EH19" s="1433"/>
      <c r="EL19" s="1433"/>
      <c r="EM19" s="1478"/>
      <c r="EN19" s="1479"/>
      <c r="EO19" s="1514"/>
      <c r="EP19" s="1514"/>
      <c r="EQ19" s="1514"/>
      <c r="ER19" s="1514"/>
      <c r="ES19" s="1514"/>
      <c r="ET19" s="1514"/>
      <c r="EU19" s="1515"/>
      <c r="EY19" s="1433"/>
      <c r="FC19" s="1433"/>
      <c r="FG19" s="1432"/>
      <c r="FL19" s="1433"/>
      <c r="FP19" s="1433"/>
      <c r="FT19" s="1528" t="s">
        <v>303</v>
      </c>
      <c r="FU19" s="1529"/>
      <c r="FV19" s="1529"/>
      <c r="FW19" s="1529"/>
      <c r="FX19" s="1529"/>
      <c r="FY19" s="1529"/>
      <c r="FZ19" s="1529"/>
      <c r="GA19" s="1529"/>
      <c r="GB19" s="1529"/>
      <c r="GC19" s="1529"/>
      <c r="GD19" s="1465"/>
      <c r="GE19" s="1465"/>
      <c r="GF19" s="1465"/>
      <c r="GG19" s="1465"/>
      <c r="GH19" s="1466"/>
      <c r="GL19" s="1433"/>
      <c r="GP19" s="1433"/>
      <c r="GT19" s="1433"/>
      <c r="GY19" s="1433"/>
      <c r="HC19" s="1433"/>
      <c r="HG19" s="1432"/>
      <c r="HL19" s="1433"/>
      <c r="HP19" s="1433"/>
      <c r="HT19" s="1433"/>
      <c r="HW19" s="1441"/>
      <c r="HX19" s="1442"/>
      <c r="HY19" s="1442"/>
      <c r="HZ19" s="1442"/>
      <c r="IA19" s="1442"/>
      <c r="IB19" s="1442"/>
      <c r="IC19" s="1442"/>
      <c r="ID19" s="1442"/>
      <c r="IE19" s="1442"/>
      <c r="IF19" s="1442"/>
      <c r="IG19" s="1442"/>
      <c r="IH19" s="1442"/>
      <c r="II19" s="1442"/>
      <c r="IJ19" s="1442"/>
      <c r="IK19" s="1442"/>
      <c r="IL19" s="1442"/>
      <c r="IM19" s="1442"/>
      <c r="IN19" s="1442"/>
      <c r="IO19" s="1442"/>
      <c r="IP19" s="1442"/>
      <c r="IQ19" s="1442"/>
      <c r="IR19" s="1442"/>
      <c r="IS19" s="1442"/>
      <c r="IT19" s="1442"/>
      <c r="IU19" s="1443"/>
      <c r="IX19" s="1438"/>
      <c r="IY19" s="1438"/>
      <c r="IZ19" s="1438"/>
      <c r="JA19" s="1438"/>
      <c r="JB19" s="1438"/>
      <c r="JC19" s="1438"/>
      <c r="JD19" s="1438"/>
      <c r="JE19" s="1438"/>
      <c r="JF19" s="1438"/>
      <c r="JG19" s="1438"/>
      <c r="JH19" s="1438"/>
      <c r="JI19" s="1438"/>
      <c r="JJ19" s="1438"/>
      <c r="JK19" s="1438"/>
      <c r="JL19" s="1438"/>
      <c r="JM19" s="1438"/>
      <c r="JN19" s="1438"/>
      <c r="JO19" s="1438"/>
      <c r="JP19" s="1438"/>
      <c r="JQ19" s="1438"/>
      <c r="JR19" s="1438"/>
      <c r="JS19" s="1438"/>
      <c r="JT19" s="1438"/>
      <c r="JU19" s="1438"/>
      <c r="JV19" s="1438"/>
      <c r="JW19" s="1438"/>
      <c r="JX19" s="1438"/>
      <c r="JY19" s="1438"/>
      <c r="JZ19" s="1438"/>
      <c r="KA19" s="1438"/>
      <c r="KC19" s="1433"/>
      <c r="KD19" s="1536" t="s">
        <v>311</v>
      </c>
      <c r="KE19" s="1536"/>
      <c r="KF19" s="1536"/>
      <c r="KG19" s="1536"/>
      <c r="KH19" s="1536"/>
      <c r="KI19" s="1536"/>
      <c r="KJ19" s="1536"/>
      <c r="KK19" s="1536"/>
      <c r="KL19" s="1536"/>
      <c r="KM19" s="1536"/>
      <c r="KN19" s="1536"/>
      <c r="KO19" s="1536"/>
      <c r="KP19" s="1536"/>
      <c r="KQ19" s="1536"/>
      <c r="KR19" s="1536"/>
      <c r="KS19" s="1536"/>
      <c r="KT19" s="1536"/>
      <c r="KU19" s="1536"/>
      <c r="KV19" s="1536"/>
      <c r="KW19" s="1536"/>
      <c r="KX19" s="1536"/>
      <c r="KY19" s="1536"/>
      <c r="KZ19" s="1536"/>
      <c r="LA19" s="1430"/>
      <c r="LC19" s="1433"/>
      <c r="LG19" s="1432"/>
      <c r="LL19" s="1433"/>
      <c r="LP19" s="1433"/>
      <c r="LQ19" s="1430"/>
      <c r="LT19" s="1433"/>
      <c r="LY19" s="1433"/>
      <c r="MC19" s="1433"/>
      <c r="MD19" s="1522" t="s">
        <v>316</v>
      </c>
      <c r="ME19" s="1523"/>
      <c r="MF19" s="1523"/>
      <c r="MG19" s="1523"/>
      <c r="MH19" s="1523"/>
      <c r="MI19" s="1523"/>
      <c r="MJ19" s="1523"/>
      <c r="MK19" s="1523"/>
      <c r="ML19" s="1523"/>
      <c r="MM19" s="1523"/>
      <c r="MN19" s="1523"/>
      <c r="MO19" s="1523"/>
      <c r="MP19" s="1524"/>
      <c r="MT19" s="1433"/>
      <c r="MY19" s="1433"/>
      <c r="NC19" s="1433"/>
      <c r="NG19" s="1432"/>
      <c r="NL19" s="1433"/>
      <c r="NP19" s="1433"/>
      <c r="NQ19" s="1537" t="s">
        <v>312</v>
      </c>
      <c r="NR19" s="1538"/>
      <c r="NS19" s="1538"/>
      <c r="NT19" s="1538"/>
      <c r="NU19" s="1538"/>
      <c r="NV19" s="1538"/>
      <c r="NW19" s="1538"/>
      <c r="NX19" s="1538"/>
      <c r="NY19" s="1538"/>
      <c r="NZ19" s="1538"/>
      <c r="OA19" s="1538"/>
      <c r="OB19" s="1538"/>
      <c r="OC19" s="1538"/>
      <c r="OD19" s="1538"/>
      <c r="OE19" s="1538"/>
      <c r="OF19" s="1538"/>
      <c r="OG19" s="1538"/>
      <c r="OH19" s="1538"/>
      <c r="OI19" s="1539"/>
      <c r="OL19" s="1433"/>
      <c r="OP19" s="1433"/>
      <c r="OT19" s="1433"/>
      <c r="OY19" s="1433"/>
      <c r="PC19" s="1433"/>
      <c r="PG19" s="1432"/>
      <c r="PL19" s="1433"/>
      <c r="PP19" s="1433"/>
      <c r="PS19" s="1490"/>
      <c r="PT19" s="1433"/>
      <c r="PW19" s="1434"/>
      <c r="PX19" s="1434"/>
      <c r="PY19" s="1434"/>
      <c r="PZ19" s="1434"/>
      <c r="QA19" s="1434"/>
      <c r="QB19" s="1434"/>
      <c r="QC19" s="1434"/>
      <c r="QD19" s="1434"/>
      <c r="QE19" s="1434"/>
      <c r="QF19" s="1434"/>
      <c r="QG19" s="1434"/>
      <c r="QH19" s="1434"/>
      <c r="QI19" s="1434"/>
      <c r="QJ19" s="1434"/>
      <c r="QK19" s="1434"/>
      <c r="QL19" s="1434"/>
      <c r="QM19" s="1434"/>
      <c r="QN19" s="1434"/>
      <c r="QO19" s="1434"/>
      <c r="QP19" s="1434"/>
      <c r="QQ19" s="1434"/>
      <c r="QR19" s="1434"/>
      <c r="QS19" s="1434"/>
      <c r="QT19" s="1434"/>
      <c r="QU19" s="1434"/>
      <c r="QY19" s="1433"/>
      <c r="RC19" s="1433"/>
      <c r="RG19" s="1432"/>
    </row>
    <row r="20" spans="2:475" s="1431" customFormat="1" ht="19.899999999999999" customHeight="1" x14ac:dyDescent="0.25">
      <c r="B20" s="1575"/>
      <c r="C20" s="1457">
        <f t="shared" si="0"/>
        <v>16</v>
      </c>
      <c r="D20" s="1430"/>
      <c r="G20" s="1432"/>
      <c r="L20" s="1433"/>
      <c r="P20" s="1433"/>
      <c r="T20" s="1433"/>
      <c r="W20" s="1434"/>
      <c r="X20" s="1434"/>
      <c r="Y20" s="1434"/>
      <c r="Z20" s="1434"/>
      <c r="AA20" s="1434"/>
      <c r="AB20" s="1434"/>
      <c r="AC20" s="1434"/>
      <c r="AD20" s="1434"/>
      <c r="AE20" s="1434"/>
      <c r="AF20" s="1434"/>
      <c r="AG20" s="1434"/>
      <c r="AH20" s="1434"/>
      <c r="AI20" s="1434"/>
      <c r="AJ20" s="1434"/>
      <c r="AK20" s="1434"/>
      <c r="AL20" s="1434"/>
      <c r="AM20" s="1434"/>
      <c r="AN20" s="1434"/>
      <c r="AO20" s="1434"/>
      <c r="AP20" s="1434"/>
      <c r="AQ20" s="1434"/>
      <c r="AR20" s="1434"/>
      <c r="AS20" s="1434"/>
      <c r="AT20" s="1434"/>
      <c r="AU20" s="1434"/>
      <c r="AX20" s="1438"/>
      <c r="AY20" s="1438"/>
      <c r="AZ20" s="1438"/>
      <c r="BA20" s="1438"/>
      <c r="BB20" s="1438"/>
      <c r="BC20" s="1438"/>
      <c r="BD20" s="1438"/>
      <c r="BE20" s="1438"/>
      <c r="BF20" s="1438"/>
      <c r="BG20" s="1438"/>
      <c r="BH20" s="1438"/>
      <c r="BI20" s="1438"/>
      <c r="BJ20" s="1438"/>
      <c r="BK20" s="1438"/>
      <c r="BL20" s="1438"/>
      <c r="BM20" s="1438"/>
      <c r="BN20" s="1438"/>
      <c r="BO20" s="1438"/>
      <c r="BP20" s="1438"/>
      <c r="BQ20" s="1438"/>
      <c r="BR20" s="1438"/>
      <c r="BS20" s="1438"/>
      <c r="BT20" s="1438"/>
      <c r="BU20" s="1438"/>
      <c r="BV20" s="1438"/>
      <c r="BW20" s="1438"/>
      <c r="BX20" s="1438"/>
      <c r="BY20" s="1438"/>
      <c r="BZ20" s="1438"/>
      <c r="CA20" s="1438"/>
      <c r="CB20" s="1438"/>
      <c r="CC20" s="1439"/>
      <c r="CH20" s="1433"/>
      <c r="CL20" s="1433"/>
      <c r="CP20" s="1458" t="s">
        <v>287</v>
      </c>
      <c r="CQ20" s="1459"/>
      <c r="CR20" s="1459"/>
      <c r="CS20" s="1459"/>
      <c r="CT20" s="1459"/>
      <c r="CU20" s="1459"/>
      <c r="CV20" s="1459"/>
      <c r="CW20" s="1459"/>
      <c r="CX20" s="1459"/>
      <c r="CY20" s="1459"/>
      <c r="CZ20" s="1459"/>
      <c r="DA20" s="1459"/>
      <c r="DB20" s="1459"/>
      <c r="DC20" s="1459"/>
      <c r="DD20" s="1459"/>
      <c r="DE20" s="1460"/>
      <c r="DG20" s="1432"/>
      <c r="DL20" s="1433"/>
      <c r="DP20" s="1433"/>
      <c r="DT20" s="1433"/>
      <c r="DW20" s="1461" t="s">
        <v>309</v>
      </c>
      <c r="DX20" s="1462"/>
      <c r="DY20" s="1462"/>
      <c r="DZ20" s="1462"/>
      <c r="EA20" s="1462"/>
      <c r="EB20" s="1462"/>
      <c r="EC20" s="1462"/>
      <c r="ED20" s="1462"/>
      <c r="EE20" s="1462"/>
      <c r="EF20" s="1462"/>
      <c r="EG20" s="1462"/>
      <c r="EH20" s="1462"/>
      <c r="EI20" s="1462"/>
      <c r="EJ20" s="1462"/>
      <c r="EK20" s="1462"/>
      <c r="EL20" s="1462"/>
      <c r="EM20" s="1462"/>
      <c r="EN20" s="1463"/>
      <c r="EP20" s="1433"/>
      <c r="ET20" s="1433"/>
      <c r="EY20" s="1433"/>
      <c r="FC20" s="1433"/>
      <c r="FG20" s="1432"/>
      <c r="FL20" s="1433"/>
      <c r="FP20" s="1433"/>
      <c r="FT20" s="1433"/>
      <c r="FY20" s="1433"/>
      <c r="GC20" s="1433"/>
      <c r="GD20" s="1464" t="s">
        <v>304</v>
      </c>
      <c r="GE20" s="1465"/>
      <c r="GF20" s="1465"/>
      <c r="GG20" s="1465"/>
      <c r="GH20" s="1465"/>
      <c r="GI20" s="1465"/>
      <c r="GJ20" s="1465"/>
      <c r="GK20" s="1465"/>
      <c r="GL20" s="1465"/>
      <c r="GM20" s="1465"/>
      <c r="GN20" s="1465"/>
      <c r="GO20" s="1465"/>
      <c r="GP20" s="1465"/>
      <c r="GQ20" s="1465"/>
      <c r="GR20" s="1465"/>
      <c r="GS20" s="1465"/>
      <c r="GT20" s="1465"/>
      <c r="GU20" s="1465"/>
      <c r="GV20" s="1465"/>
      <c r="GW20" s="1465"/>
      <c r="GX20" s="1465"/>
      <c r="GY20" s="1465"/>
      <c r="GZ20" s="1465"/>
      <c r="HA20" s="1465"/>
      <c r="HB20" s="1465"/>
      <c r="HC20" s="1465"/>
      <c r="HD20" s="1465"/>
      <c r="HE20" s="1465"/>
      <c r="HF20" s="1465"/>
      <c r="HG20" s="1465"/>
      <c r="HH20" s="1465"/>
      <c r="HI20" s="1465"/>
      <c r="HJ20" s="1465"/>
      <c r="HK20" s="1465"/>
      <c r="HL20" s="1465"/>
      <c r="HM20" s="1465"/>
      <c r="HN20" s="1465"/>
      <c r="HO20" s="1465"/>
      <c r="HP20" s="1465"/>
      <c r="HQ20" s="1466"/>
      <c r="HT20" s="1433"/>
      <c r="HW20" s="1441"/>
      <c r="HX20" s="1442"/>
      <c r="HY20" s="1442"/>
      <c r="HZ20" s="1442"/>
      <c r="IA20" s="1442"/>
      <c r="IB20" s="1442"/>
      <c r="IC20" s="1442"/>
      <c r="ID20" s="1442"/>
      <c r="IE20" s="1442"/>
      <c r="IF20" s="1442"/>
      <c r="IG20" s="1442"/>
      <c r="IH20" s="1442"/>
      <c r="II20" s="1442"/>
      <c r="IJ20" s="1442"/>
      <c r="IK20" s="1442"/>
      <c r="IL20" s="1442"/>
      <c r="IM20" s="1442"/>
      <c r="IN20" s="1442"/>
      <c r="IO20" s="1442"/>
      <c r="IP20" s="1442"/>
      <c r="IQ20" s="1442"/>
      <c r="IR20" s="1442"/>
      <c r="IS20" s="1442"/>
      <c r="IT20" s="1442"/>
      <c r="IU20" s="1443"/>
      <c r="IX20" s="1438"/>
      <c r="IY20" s="1438"/>
      <c r="IZ20" s="1438"/>
      <c r="JA20" s="1438"/>
      <c r="JB20" s="1438"/>
      <c r="JC20" s="1438"/>
      <c r="JD20" s="1438"/>
      <c r="JE20" s="1438"/>
      <c r="JF20" s="1438"/>
      <c r="JG20" s="1438"/>
      <c r="JH20" s="1438"/>
      <c r="JI20" s="1438"/>
      <c r="JJ20" s="1438"/>
      <c r="JK20" s="1438"/>
      <c r="JL20" s="1438"/>
      <c r="JM20" s="1438"/>
      <c r="JN20" s="1438"/>
      <c r="JO20" s="1438"/>
      <c r="JP20" s="1438"/>
      <c r="JQ20" s="1438"/>
      <c r="JR20" s="1438"/>
      <c r="JS20" s="1438"/>
      <c r="JT20" s="1438"/>
      <c r="JU20" s="1438"/>
      <c r="JV20" s="1438"/>
      <c r="JW20" s="1438"/>
      <c r="JX20" s="1438"/>
      <c r="JY20" s="1438"/>
      <c r="JZ20" s="1438"/>
      <c r="KA20" s="1438"/>
      <c r="KC20" s="1433"/>
      <c r="KD20" s="1536"/>
      <c r="KE20" s="1536"/>
      <c r="KF20" s="1536"/>
      <c r="KG20" s="1536"/>
      <c r="KH20" s="1536"/>
      <c r="KI20" s="1536"/>
      <c r="KJ20" s="1536"/>
      <c r="KK20" s="1536"/>
      <c r="KL20" s="1536"/>
      <c r="KM20" s="1536"/>
      <c r="KN20" s="1536"/>
      <c r="KO20" s="1536"/>
      <c r="KP20" s="1536"/>
      <c r="KQ20" s="1536"/>
      <c r="KR20" s="1536"/>
      <c r="KS20" s="1536"/>
      <c r="KT20" s="1536"/>
      <c r="KU20" s="1536"/>
      <c r="KV20" s="1536"/>
      <c r="KW20" s="1536"/>
      <c r="KX20" s="1536"/>
      <c r="KY20" s="1536"/>
      <c r="KZ20" s="1536"/>
      <c r="LA20" s="1430"/>
      <c r="LC20" s="1433"/>
      <c r="LG20" s="1432"/>
      <c r="LL20" s="1433"/>
      <c r="LP20" s="1433"/>
      <c r="LQ20" s="1430"/>
      <c r="LT20" s="1433"/>
      <c r="LY20" s="1433"/>
      <c r="MC20" s="1433"/>
      <c r="MD20" s="1525"/>
      <c r="ME20" s="1526"/>
      <c r="MF20" s="1526"/>
      <c r="MG20" s="1526"/>
      <c r="MH20" s="1526"/>
      <c r="MI20" s="1526"/>
      <c r="MJ20" s="1526"/>
      <c r="MK20" s="1526"/>
      <c r="ML20" s="1526"/>
      <c r="MM20" s="1526"/>
      <c r="MN20" s="1526"/>
      <c r="MO20" s="1526"/>
      <c r="MP20" s="1527"/>
      <c r="MT20" s="1433"/>
      <c r="MY20" s="1433"/>
      <c r="NC20" s="1433"/>
      <c r="NG20" s="1432"/>
      <c r="NL20" s="1433"/>
      <c r="NP20" s="1433"/>
      <c r="NQ20" s="1471" t="s">
        <v>280</v>
      </c>
      <c r="NR20" s="1472"/>
      <c r="NS20" s="1472"/>
      <c r="NT20" s="1472"/>
      <c r="NU20" s="1472"/>
      <c r="NV20" s="1472"/>
      <c r="NW20" s="1472"/>
      <c r="NX20" s="1472"/>
      <c r="NY20" s="1472"/>
      <c r="NZ20" s="1472"/>
      <c r="OA20" s="1472"/>
      <c r="OB20" s="1472"/>
      <c r="OC20" s="1472"/>
      <c r="OD20" s="1472"/>
      <c r="OE20" s="1472"/>
      <c r="OF20" s="1472"/>
      <c r="OG20" s="1472"/>
      <c r="OH20" s="1472"/>
      <c r="OI20" s="1472"/>
      <c r="OL20" s="1433"/>
      <c r="OP20" s="1433"/>
      <c r="OT20" s="1433"/>
      <c r="OY20" s="1433"/>
      <c r="PC20" s="1433"/>
      <c r="PG20" s="1432"/>
      <c r="PL20" s="1433"/>
      <c r="PP20" s="1433"/>
      <c r="PT20" s="1433"/>
      <c r="PW20" s="1434"/>
      <c r="PX20" s="1434"/>
      <c r="PY20" s="1434"/>
      <c r="PZ20" s="1434"/>
      <c r="QA20" s="1434"/>
      <c r="QB20" s="1434"/>
      <c r="QC20" s="1434"/>
      <c r="QD20" s="1434"/>
      <c r="QE20" s="1434"/>
      <c r="QF20" s="1434"/>
      <c r="QG20" s="1434"/>
      <c r="QH20" s="1434"/>
      <c r="QI20" s="1434"/>
      <c r="QJ20" s="1434"/>
      <c r="QK20" s="1434"/>
      <c r="QL20" s="1434"/>
      <c r="QM20" s="1434"/>
      <c r="QN20" s="1434"/>
      <c r="QO20" s="1434"/>
      <c r="QP20" s="1434"/>
      <c r="QQ20" s="1434"/>
      <c r="QR20" s="1434"/>
      <c r="QS20" s="1434"/>
      <c r="QT20" s="1434"/>
      <c r="QU20" s="1434"/>
      <c r="QY20" s="1433"/>
      <c r="RC20" s="1433"/>
      <c r="RG20" s="1432"/>
    </row>
    <row r="21" spans="2:475" s="1431" customFormat="1" ht="19.899999999999999" customHeight="1" x14ac:dyDescent="0.25">
      <c r="B21" s="1575"/>
      <c r="C21" s="1457">
        <f t="shared" si="0"/>
        <v>17</v>
      </c>
      <c r="D21" s="1446"/>
      <c r="E21" s="1447"/>
      <c r="F21" s="1447"/>
      <c r="G21" s="1448"/>
      <c r="H21" s="1447"/>
      <c r="I21" s="1447"/>
      <c r="L21" s="1433"/>
      <c r="P21" s="1433"/>
      <c r="T21" s="1433"/>
      <c r="V21" s="1450"/>
      <c r="W21" s="1434"/>
      <c r="X21" s="1434"/>
      <c r="Y21" s="1434"/>
      <c r="Z21" s="1434"/>
      <c r="AA21" s="1434"/>
      <c r="AB21" s="1434"/>
      <c r="AC21" s="1434"/>
      <c r="AD21" s="1434"/>
      <c r="AE21" s="1434"/>
      <c r="AF21" s="1434"/>
      <c r="AG21" s="1434"/>
      <c r="AH21" s="1434"/>
      <c r="AI21" s="1434"/>
      <c r="AJ21" s="1434"/>
      <c r="AK21" s="1434"/>
      <c r="AL21" s="1434"/>
      <c r="AM21" s="1434"/>
      <c r="AN21" s="1434"/>
      <c r="AO21" s="1434"/>
      <c r="AP21" s="1434"/>
      <c r="AQ21" s="1434"/>
      <c r="AR21" s="1434"/>
      <c r="AS21" s="1434"/>
      <c r="AT21" s="1434"/>
      <c r="AU21" s="1434"/>
      <c r="AX21" s="1438"/>
      <c r="AY21" s="1438"/>
      <c r="AZ21" s="1438"/>
      <c r="BA21" s="1438"/>
      <c r="BB21" s="1438"/>
      <c r="BC21" s="1438"/>
      <c r="BD21" s="1438"/>
      <c r="BE21" s="1438"/>
      <c r="BF21" s="1438"/>
      <c r="BG21" s="1438"/>
      <c r="BH21" s="1438"/>
      <c r="BI21" s="1438"/>
      <c r="BJ21" s="1438"/>
      <c r="BK21" s="1438"/>
      <c r="BL21" s="1438"/>
      <c r="BM21" s="1438"/>
      <c r="BN21" s="1438"/>
      <c r="BO21" s="1438"/>
      <c r="BP21" s="1438"/>
      <c r="BQ21" s="1438"/>
      <c r="BR21" s="1438"/>
      <c r="BS21" s="1438"/>
      <c r="BT21" s="1438"/>
      <c r="BU21" s="1438"/>
      <c r="BV21" s="1438"/>
      <c r="BW21" s="1438"/>
      <c r="BX21" s="1438"/>
      <c r="BY21" s="1438"/>
      <c r="BZ21" s="1438"/>
      <c r="CA21" s="1438"/>
      <c r="CB21" s="1438"/>
      <c r="CC21" s="1439"/>
      <c r="CH21" s="1433"/>
      <c r="CL21" s="1433"/>
      <c r="CP21" s="1475"/>
      <c r="CQ21" s="1476"/>
      <c r="CR21" s="1476"/>
      <c r="CS21" s="1476"/>
      <c r="CT21" s="1476"/>
      <c r="CU21" s="1476"/>
      <c r="CV21" s="1476"/>
      <c r="CW21" s="1476"/>
      <c r="CX21" s="1476"/>
      <c r="CY21" s="1476"/>
      <c r="CZ21" s="1476"/>
      <c r="DA21" s="1476"/>
      <c r="DB21" s="1476"/>
      <c r="DC21" s="1476"/>
      <c r="DD21" s="1476"/>
      <c r="DE21" s="1477"/>
      <c r="DG21" s="1432"/>
      <c r="DL21" s="1433"/>
      <c r="DP21" s="1433"/>
      <c r="DT21" s="1433"/>
      <c r="DW21" s="1478"/>
      <c r="DX21" s="1479"/>
      <c r="DY21" s="1479"/>
      <c r="DZ21" s="1479"/>
      <c r="EA21" s="1479"/>
      <c r="EB21" s="1479"/>
      <c r="EC21" s="1479"/>
      <c r="ED21" s="1479"/>
      <c r="EE21" s="1479"/>
      <c r="EF21" s="1479"/>
      <c r="EG21" s="1479"/>
      <c r="EH21" s="1479"/>
      <c r="EI21" s="1479"/>
      <c r="EJ21" s="1479"/>
      <c r="EK21" s="1479"/>
      <c r="EL21" s="1479"/>
      <c r="EM21" s="1479"/>
      <c r="EN21" s="1480"/>
      <c r="EP21" s="1433"/>
      <c r="ET21" s="1433"/>
      <c r="EY21" s="1433"/>
      <c r="FC21" s="1433"/>
      <c r="FG21" s="1432"/>
      <c r="FL21" s="1433"/>
      <c r="FP21" s="1433"/>
      <c r="FT21" s="1433"/>
      <c r="FY21" s="1433"/>
      <c r="GC21" s="1433"/>
      <c r="GD21" s="1481"/>
      <c r="GE21" s="1482"/>
      <c r="GF21" s="1482"/>
      <c r="GG21" s="1482"/>
      <c r="GH21" s="1482"/>
      <c r="GI21" s="1482"/>
      <c r="GJ21" s="1482"/>
      <c r="GK21" s="1482"/>
      <c r="GL21" s="1482"/>
      <c r="GM21" s="1482"/>
      <c r="GN21" s="1482"/>
      <c r="GO21" s="1482"/>
      <c r="GP21" s="1482"/>
      <c r="GQ21" s="1482"/>
      <c r="GR21" s="1482"/>
      <c r="GS21" s="1482"/>
      <c r="GT21" s="1482"/>
      <c r="GU21" s="1482"/>
      <c r="GV21" s="1482"/>
      <c r="GW21" s="1482"/>
      <c r="GX21" s="1482"/>
      <c r="GY21" s="1482"/>
      <c r="GZ21" s="1482"/>
      <c r="HA21" s="1482"/>
      <c r="HB21" s="1482"/>
      <c r="HC21" s="1482"/>
      <c r="HD21" s="1482"/>
      <c r="HE21" s="1482"/>
      <c r="HF21" s="1482"/>
      <c r="HG21" s="1482"/>
      <c r="HH21" s="1482"/>
      <c r="HI21" s="1482"/>
      <c r="HJ21" s="1482"/>
      <c r="HK21" s="1482"/>
      <c r="HL21" s="1482"/>
      <c r="HM21" s="1482"/>
      <c r="HN21" s="1482"/>
      <c r="HO21" s="1482"/>
      <c r="HP21" s="1482"/>
      <c r="HQ21" s="1483"/>
      <c r="HT21" s="1433"/>
      <c r="HW21" s="1441"/>
      <c r="HX21" s="1442"/>
      <c r="HY21" s="1442"/>
      <c r="HZ21" s="1442"/>
      <c r="IA21" s="1442"/>
      <c r="IB21" s="1442"/>
      <c r="IC21" s="1442"/>
      <c r="ID21" s="1442"/>
      <c r="IE21" s="1442"/>
      <c r="IF21" s="1442"/>
      <c r="IG21" s="1442"/>
      <c r="IH21" s="1442"/>
      <c r="II21" s="1442"/>
      <c r="IJ21" s="1442"/>
      <c r="IK21" s="1442"/>
      <c r="IL21" s="1442"/>
      <c r="IM21" s="1442"/>
      <c r="IN21" s="1442"/>
      <c r="IO21" s="1442"/>
      <c r="IP21" s="1442"/>
      <c r="IQ21" s="1442"/>
      <c r="IR21" s="1442"/>
      <c r="IS21" s="1442"/>
      <c r="IT21" s="1442"/>
      <c r="IU21" s="1443"/>
      <c r="IX21" s="1438"/>
      <c r="IY21" s="1438"/>
      <c r="IZ21" s="1438"/>
      <c r="JA21" s="1438"/>
      <c r="JB21" s="1438"/>
      <c r="JC21" s="1438"/>
      <c r="JD21" s="1438"/>
      <c r="JE21" s="1438"/>
      <c r="JF21" s="1438"/>
      <c r="JG21" s="1438"/>
      <c r="JH21" s="1438"/>
      <c r="JI21" s="1438"/>
      <c r="JJ21" s="1438"/>
      <c r="JK21" s="1438"/>
      <c r="JL21" s="1438"/>
      <c r="JM21" s="1438"/>
      <c r="JN21" s="1438"/>
      <c r="JO21" s="1438"/>
      <c r="JP21" s="1438"/>
      <c r="JQ21" s="1438"/>
      <c r="JR21" s="1438"/>
      <c r="JS21" s="1438"/>
      <c r="JT21" s="1438"/>
      <c r="JU21" s="1438"/>
      <c r="JV21" s="1438"/>
      <c r="JW21" s="1438"/>
      <c r="JX21" s="1438"/>
      <c r="JY21" s="1438"/>
      <c r="JZ21" s="1438"/>
      <c r="KA21" s="1438"/>
      <c r="KC21" s="1433"/>
      <c r="KD21" s="1536"/>
      <c r="KE21" s="1536"/>
      <c r="KF21" s="1536"/>
      <c r="KG21" s="1536"/>
      <c r="KH21" s="1536"/>
      <c r="KI21" s="1536"/>
      <c r="KJ21" s="1536"/>
      <c r="KK21" s="1536"/>
      <c r="KL21" s="1536"/>
      <c r="KM21" s="1536"/>
      <c r="KN21" s="1536"/>
      <c r="KO21" s="1536"/>
      <c r="KP21" s="1536"/>
      <c r="KQ21" s="1536"/>
      <c r="KR21" s="1536"/>
      <c r="KS21" s="1536"/>
      <c r="KT21" s="1536"/>
      <c r="KU21" s="1536"/>
      <c r="KV21" s="1536"/>
      <c r="KW21" s="1536"/>
      <c r="KX21" s="1536"/>
      <c r="KY21" s="1536"/>
      <c r="KZ21" s="1536"/>
      <c r="LA21" s="1430"/>
      <c r="LC21" s="1433"/>
      <c r="LG21" s="1432"/>
      <c r="LL21" s="1433"/>
      <c r="LP21" s="1433"/>
      <c r="LQ21" s="1430"/>
      <c r="LT21" s="1433"/>
      <c r="LY21" s="1433"/>
      <c r="MC21" s="1433"/>
      <c r="MD21" s="1530"/>
      <c r="ME21" s="1531"/>
      <c r="MF21" s="1531"/>
      <c r="MG21" s="1531"/>
      <c r="MH21" s="1531"/>
      <c r="MI21" s="1531"/>
      <c r="MJ21" s="1531"/>
      <c r="MK21" s="1531"/>
      <c r="ML21" s="1531"/>
      <c r="MM21" s="1531"/>
      <c r="MN21" s="1531"/>
      <c r="MO21" s="1531"/>
      <c r="MP21" s="1532"/>
      <c r="MT21" s="1433"/>
      <c r="MY21" s="1433"/>
      <c r="NC21" s="1433"/>
      <c r="NG21" s="1432"/>
      <c r="NL21" s="1433"/>
      <c r="NP21" s="1433"/>
      <c r="NQ21" s="1487"/>
      <c r="NR21" s="1488"/>
      <c r="NS21" s="1488"/>
      <c r="NT21" s="1488"/>
      <c r="NU21" s="1488"/>
      <c r="NV21" s="1488"/>
      <c r="NW21" s="1488"/>
      <c r="NX21" s="1488"/>
      <c r="NY21" s="1488"/>
      <c r="NZ21" s="1488"/>
      <c r="OA21" s="1488"/>
      <c r="OB21" s="1488"/>
      <c r="OC21" s="1488"/>
      <c r="OD21" s="1488"/>
      <c r="OE21" s="1488"/>
      <c r="OF21" s="1488"/>
      <c r="OG21" s="1488"/>
      <c r="OH21" s="1488"/>
      <c r="OI21" s="1488"/>
      <c r="OL21" s="1433"/>
      <c r="OP21" s="1433"/>
      <c r="OT21" s="1433"/>
      <c r="OY21" s="1433"/>
      <c r="PC21" s="1433"/>
      <c r="PG21" s="1432"/>
      <c r="PL21" s="1433"/>
      <c r="PP21" s="1433"/>
      <c r="PT21" s="1433"/>
      <c r="PW21" s="1434"/>
      <c r="PX21" s="1434"/>
      <c r="PY21" s="1434"/>
      <c r="PZ21" s="1434"/>
      <c r="QA21" s="1434"/>
      <c r="QB21" s="1434"/>
      <c r="QC21" s="1434"/>
      <c r="QD21" s="1434"/>
      <c r="QE21" s="1434"/>
      <c r="QF21" s="1434"/>
      <c r="QG21" s="1434"/>
      <c r="QH21" s="1434"/>
      <c r="QI21" s="1434"/>
      <c r="QJ21" s="1434"/>
      <c r="QK21" s="1434"/>
      <c r="QL21" s="1434"/>
      <c r="QM21" s="1434"/>
      <c r="QN21" s="1434"/>
      <c r="QO21" s="1434"/>
      <c r="QP21" s="1434"/>
      <c r="QQ21" s="1434"/>
      <c r="QR21" s="1434"/>
      <c r="QS21" s="1434"/>
      <c r="QT21" s="1434"/>
      <c r="QU21" s="1434"/>
      <c r="QY21" s="1433"/>
      <c r="RC21" s="1433"/>
      <c r="RG21" s="1432"/>
    </row>
    <row r="22" spans="2:475" s="1431" customFormat="1" ht="19.899999999999999" customHeight="1" x14ac:dyDescent="0.25">
      <c r="B22" s="1575"/>
      <c r="C22" s="1457">
        <f t="shared" si="0"/>
        <v>18</v>
      </c>
      <c r="D22" s="1446"/>
      <c r="E22" s="1447"/>
      <c r="F22" s="1447"/>
      <c r="G22" s="1448"/>
      <c r="H22" s="1447"/>
      <c r="I22" s="1447"/>
      <c r="J22" s="1447"/>
      <c r="K22" s="1447"/>
      <c r="L22" s="1449"/>
      <c r="M22" s="1447"/>
      <c r="N22" s="1447"/>
      <c r="O22" s="1447"/>
      <c r="P22" s="1449"/>
      <c r="Q22" s="1447"/>
      <c r="T22" s="1433"/>
      <c r="U22" s="1450"/>
      <c r="V22" s="1450"/>
      <c r="W22" s="1434"/>
      <c r="X22" s="1434"/>
      <c r="Y22" s="1434"/>
      <c r="Z22" s="1434"/>
      <c r="AA22" s="1434"/>
      <c r="AB22" s="1434"/>
      <c r="AC22" s="1434"/>
      <c r="AD22" s="1434"/>
      <c r="AE22" s="1434"/>
      <c r="AF22" s="1434"/>
      <c r="AG22" s="1434"/>
      <c r="AH22" s="1434"/>
      <c r="AI22" s="1434"/>
      <c r="AJ22" s="1434"/>
      <c r="AK22" s="1434"/>
      <c r="AL22" s="1434"/>
      <c r="AM22" s="1434"/>
      <c r="AN22" s="1434"/>
      <c r="AO22" s="1434"/>
      <c r="AP22" s="1434"/>
      <c r="AQ22" s="1434"/>
      <c r="AR22" s="1434"/>
      <c r="AS22" s="1434"/>
      <c r="AT22" s="1434"/>
      <c r="AU22" s="1434"/>
      <c r="AX22" s="1438"/>
      <c r="AY22" s="1438"/>
      <c r="AZ22" s="1438"/>
      <c r="BA22" s="1438"/>
      <c r="BB22" s="1438"/>
      <c r="BC22" s="1438"/>
      <c r="BD22" s="1438"/>
      <c r="BE22" s="1438"/>
      <c r="BF22" s="1438"/>
      <c r="BG22" s="1438"/>
      <c r="BH22" s="1438"/>
      <c r="BI22" s="1438"/>
      <c r="BJ22" s="1438"/>
      <c r="BK22" s="1438"/>
      <c r="BL22" s="1438"/>
      <c r="BM22" s="1438"/>
      <c r="BN22" s="1438"/>
      <c r="BO22" s="1438"/>
      <c r="BP22" s="1438"/>
      <c r="BQ22" s="1438"/>
      <c r="BR22" s="1438"/>
      <c r="BS22" s="1438"/>
      <c r="BT22" s="1438"/>
      <c r="BU22" s="1438"/>
      <c r="BV22" s="1438"/>
      <c r="BW22" s="1438"/>
      <c r="BX22" s="1438"/>
      <c r="BY22" s="1438"/>
      <c r="BZ22" s="1438"/>
      <c r="CA22" s="1438"/>
      <c r="CB22" s="1438"/>
      <c r="CC22" s="1439"/>
      <c r="CH22" s="1433"/>
      <c r="CL22" s="1433"/>
      <c r="CP22" s="1475"/>
      <c r="CQ22" s="1476"/>
      <c r="CR22" s="1476"/>
      <c r="CS22" s="1476"/>
      <c r="CT22" s="1476"/>
      <c r="CU22" s="1476"/>
      <c r="CV22" s="1476"/>
      <c r="CW22" s="1476"/>
      <c r="CX22" s="1476"/>
      <c r="CY22" s="1476"/>
      <c r="CZ22" s="1476"/>
      <c r="DA22" s="1476"/>
      <c r="DB22" s="1476"/>
      <c r="DC22" s="1476"/>
      <c r="DD22" s="1476"/>
      <c r="DE22" s="1477"/>
      <c r="DG22" s="1432"/>
      <c r="DL22" s="1433"/>
      <c r="DP22" s="1433"/>
      <c r="DT22" s="1433"/>
      <c r="DW22" s="1478"/>
      <c r="DX22" s="1479"/>
      <c r="DY22" s="1479"/>
      <c r="DZ22" s="1479"/>
      <c r="EA22" s="1479"/>
      <c r="EB22" s="1479"/>
      <c r="EC22" s="1479"/>
      <c r="ED22" s="1479"/>
      <c r="EE22" s="1479"/>
      <c r="EF22" s="1479"/>
      <c r="EG22" s="1479"/>
      <c r="EH22" s="1479"/>
      <c r="EI22" s="1479"/>
      <c r="EJ22" s="1479"/>
      <c r="EK22" s="1479"/>
      <c r="EL22" s="1479"/>
      <c r="EM22" s="1479"/>
      <c r="EN22" s="1480"/>
      <c r="EP22" s="1433"/>
      <c r="ET22" s="1433"/>
      <c r="EY22" s="1433"/>
      <c r="FC22" s="1433"/>
      <c r="FG22" s="1432"/>
      <c r="FL22" s="1433"/>
      <c r="FP22" s="1433"/>
      <c r="FT22" s="1433"/>
      <c r="FY22" s="1433"/>
      <c r="GC22" s="1433"/>
      <c r="GD22" s="1481"/>
      <c r="GE22" s="1482"/>
      <c r="GF22" s="1482"/>
      <c r="GG22" s="1482"/>
      <c r="GH22" s="1517"/>
      <c r="GI22" s="1517"/>
      <c r="GJ22" s="1517"/>
      <c r="GK22" s="1517"/>
      <c r="GL22" s="1517"/>
      <c r="GM22" s="1517"/>
      <c r="GN22" s="1517"/>
      <c r="GO22" s="1517"/>
      <c r="GP22" s="1517"/>
      <c r="GQ22" s="1517"/>
      <c r="GR22" s="1517"/>
      <c r="GS22" s="1517"/>
      <c r="GT22" s="1517"/>
      <c r="GU22" s="1517"/>
      <c r="GV22" s="1517"/>
      <c r="GW22" s="1517"/>
      <c r="GX22" s="1517"/>
      <c r="GY22" s="1517"/>
      <c r="GZ22" s="1517"/>
      <c r="HA22" s="1517"/>
      <c r="HB22" s="1517"/>
      <c r="HC22" s="1517"/>
      <c r="HD22" s="1517"/>
      <c r="HE22" s="1517"/>
      <c r="HF22" s="1517"/>
      <c r="HG22" s="1517"/>
      <c r="HH22" s="1517"/>
      <c r="HI22" s="1517"/>
      <c r="HJ22" s="1517"/>
      <c r="HK22" s="1517"/>
      <c r="HL22" s="1517"/>
      <c r="HM22" s="1517"/>
      <c r="HN22" s="1517"/>
      <c r="HO22" s="1517"/>
      <c r="HP22" s="1517"/>
      <c r="HQ22" s="1518"/>
      <c r="HT22" s="1433"/>
      <c r="HW22" s="1452"/>
      <c r="HX22" s="1453"/>
      <c r="HY22" s="1453"/>
      <c r="HZ22" s="1453"/>
      <c r="IA22" s="1453"/>
      <c r="IB22" s="1453"/>
      <c r="IC22" s="1453"/>
      <c r="ID22" s="1453"/>
      <c r="IE22" s="1453"/>
      <c r="IF22" s="1453"/>
      <c r="IG22" s="1453"/>
      <c r="IH22" s="1453"/>
      <c r="II22" s="1453"/>
      <c r="IJ22" s="1453"/>
      <c r="IK22" s="1453"/>
      <c r="IL22" s="1453"/>
      <c r="IM22" s="1453"/>
      <c r="IN22" s="1453"/>
      <c r="IO22" s="1453"/>
      <c r="IP22" s="1453"/>
      <c r="IQ22" s="1453"/>
      <c r="IR22" s="1453"/>
      <c r="IS22" s="1453"/>
      <c r="IT22" s="1453"/>
      <c r="IU22" s="1454"/>
      <c r="IX22" s="1438"/>
      <c r="IY22" s="1438"/>
      <c r="IZ22" s="1438"/>
      <c r="JA22" s="1438"/>
      <c r="JB22" s="1438"/>
      <c r="JC22" s="1438"/>
      <c r="JD22" s="1438"/>
      <c r="JE22" s="1438"/>
      <c r="JF22" s="1438"/>
      <c r="JG22" s="1438"/>
      <c r="JH22" s="1438"/>
      <c r="JI22" s="1438"/>
      <c r="JJ22" s="1438"/>
      <c r="JK22" s="1438"/>
      <c r="JL22" s="1438"/>
      <c r="JM22" s="1438"/>
      <c r="JN22" s="1438"/>
      <c r="JO22" s="1438"/>
      <c r="JP22" s="1438"/>
      <c r="JQ22" s="1438"/>
      <c r="JR22" s="1438"/>
      <c r="JS22" s="1438"/>
      <c r="JT22" s="1438"/>
      <c r="JU22" s="1438"/>
      <c r="JV22" s="1438"/>
      <c r="JW22" s="1438"/>
      <c r="JX22" s="1438"/>
      <c r="JY22" s="1438"/>
      <c r="JZ22" s="1438"/>
      <c r="KA22" s="1438"/>
      <c r="KC22" s="1433"/>
      <c r="KD22" s="1536"/>
      <c r="KE22" s="1536"/>
      <c r="KF22" s="1536"/>
      <c r="KG22" s="1536"/>
      <c r="KH22" s="1536"/>
      <c r="KI22" s="1536"/>
      <c r="KJ22" s="1536"/>
      <c r="KK22" s="1536"/>
      <c r="KL22" s="1536"/>
      <c r="KM22" s="1536"/>
      <c r="KN22" s="1536"/>
      <c r="KO22" s="1536"/>
      <c r="KP22" s="1536"/>
      <c r="KQ22" s="1536"/>
      <c r="KR22" s="1536"/>
      <c r="KS22" s="1536"/>
      <c r="KT22" s="1536"/>
      <c r="KU22" s="1536"/>
      <c r="KV22" s="1536"/>
      <c r="KW22" s="1536"/>
      <c r="KX22" s="1536"/>
      <c r="KY22" s="1536"/>
      <c r="KZ22" s="1536"/>
      <c r="LA22" s="1430"/>
      <c r="LC22" s="1433"/>
      <c r="LG22" s="1432"/>
      <c r="LL22" s="1433"/>
      <c r="LP22" s="1433"/>
      <c r="LQ22" s="1430"/>
      <c r="LT22" s="1433"/>
      <c r="LY22" s="1433"/>
      <c r="MC22" s="1433"/>
      <c r="MH22" s="1433"/>
      <c r="MI22" s="1522" t="s">
        <v>317</v>
      </c>
      <c r="MJ22" s="1523"/>
      <c r="MK22" s="1523"/>
      <c r="ML22" s="1523"/>
      <c r="MM22" s="1523"/>
      <c r="MN22" s="1523"/>
      <c r="MO22" s="1523"/>
      <c r="MP22" s="1523"/>
      <c r="MQ22" s="1523"/>
      <c r="MR22" s="1523"/>
      <c r="MS22" s="1523"/>
      <c r="MT22" s="1523"/>
      <c r="MU22" s="1524"/>
      <c r="MY22" s="1433"/>
      <c r="NC22" s="1433"/>
      <c r="NG22" s="1432"/>
      <c r="NL22" s="1433"/>
      <c r="NP22" s="1433"/>
      <c r="NQ22" s="1487"/>
      <c r="NR22" s="1488"/>
      <c r="NS22" s="1488"/>
      <c r="NT22" s="1488"/>
      <c r="NU22" s="1488"/>
      <c r="NV22" s="1488"/>
      <c r="NW22" s="1488"/>
      <c r="NX22" s="1488"/>
      <c r="NY22" s="1488"/>
      <c r="NZ22" s="1488"/>
      <c r="OA22" s="1488"/>
      <c r="OB22" s="1488"/>
      <c r="OC22" s="1488"/>
      <c r="OD22" s="1488"/>
      <c r="OE22" s="1488"/>
      <c r="OF22" s="1488"/>
      <c r="OG22" s="1488"/>
      <c r="OH22" s="1488"/>
      <c r="OI22" s="1488"/>
      <c r="OL22" s="1433"/>
      <c r="OP22" s="1433"/>
      <c r="OT22" s="1433"/>
      <c r="OY22" s="1433"/>
      <c r="PC22" s="1433"/>
      <c r="PG22" s="1432"/>
      <c r="PL22" s="1433"/>
      <c r="PP22" s="1433"/>
      <c r="PT22" s="1433"/>
      <c r="PW22" s="1434"/>
      <c r="PX22" s="1434"/>
      <c r="PY22" s="1434"/>
      <c r="PZ22" s="1434"/>
      <c r="QA22" s="1434"/>
      <c r="QB22" s="1434"/>
      <c r="QC22" s="1434"/>
      <c r="QD22" s="1434"/>
      <c r="QE22" s="1434"/>
      <c r="QF22" s="1434"/>
      <c r="QG22" s="1434"/>
      <c r="QH22" s="1434"/>
      <c r="QI22" s="1434"/>
      <c r="QJ22" s="1434"/>
      <c r="QK22" s="1434"/>
      <c r="QL22" s="1434"/>
      <c r="QM22" s="1434"/>
      <c r="QN22" s="1434"/>
      <c r="QO22" s="1434"/>
      <c r="QP22" s="1434"/>
      <c r="QQ22" s="1434"/>
      <c r="QR22" s="1434"/>
      <c r="QS22" s="1434"/>
      <c r="QT22" s="1434"/>
      <c r="QU22" s="1434"/>
      <c r="QY22" s="1433"/>
      <c r="RC22" s="1433"/>
      <c r="RG22" s="1432"/>
    </row>
    <row r="23" spans="2:475" s="1431" customFormat="1" ht="19.899999999999999" customHeight="1" x14ac:dyDescent="0.25">
      <c r="B23" s="1575"/>
      <c r="C23" s="1457">
        <f t="shared" si="0"/>
        <v>19</v>
      </c>
      <c r="D23" s="1430"/>
      <c r="G23" s="1432"/>
      <c r="L23" s="1433"/>
      <c r="P23" s="1433"/>
      <c r="T23" s="1433"/>
      <c r="W23" s="1434"/>
      <c r="X23" s="1434"/>
      <c r="Y23" s="1434"/>
      <c r="Z23" s="1434"/>
      <c r="AA23" s="1434"/>
      <c r="AB23" s="1434"/>
      <c r="AC23" s="1434"/>
      <c r="AD23" s="1434"/>
      <c r="AE23" s="1434"/>
      <c r="AF23" s="1434"/>
      <c r="AG23" s="1434"/>
      <c r="AH23" s="1434"/>
      <c r="AI23" s="1434"/>
      <c r="AJ23" s="1434"/>
      <c r="AK23" s="1434"/>
      <c r="AL23" s="1434"/>
      <c r="AM23" s="1434"/>
      <c r="AN23" s="1434"/>
      <c r="AO23" s="1434"/>
      <c r="AP23" s="1434"/>
      <c r="AQ23" s="1434"/>
      <c r="AR23" s="1434"/>
      <c r="AS23" s="1434"/>
      <c r="AT23" s="1434"/>
      <c r="AU23" s="1434"/>
      <c r="AX23" s="1438"/>
      <c r="AY23" s="1438"/>
      <c r="AZ23" s="1438"/>
      <c r="BA23" s="1438"/>
      <c r="BB23" s="1438"/>
      <c r="BC23" s="1438"/>
      <c r="BD23" s="1438"/>
      <c r="BE23" s="1438"/>
      <c r="BF23" s="1438"/>
      <c r="BG23" s="1438"/>
      <c r="BH23" s="1438"/>
      <c r="BI23" s="1438"/>
      <c r="BJ23" s="1438"/>
      <c r="BK23" s="1438"/>
      <c r="BL23" s="1438"/>
      <c r="BM23" s="1438"/>
      <c r="BN23" s="1438"/>
      <c r="BO23" s="1438"/>
      <c r="BP23" s="1438"/>
      <c r="BQ23" s="1438"/>
      <c r="BR23" s="1438"/>
      <c r="BS23" s="1438"/>
      <c r="BT23" s="1438"/>
      <c r="BU23" s="1438"/>
      <c r="BV23" s="1438"/>
      <c r="BW23" s="1438"/>
      <c r="BX23" s="1438"/>
      <c r="BY23" s="1438"/>
      <c r="BZ23" s="1438"/>
      <c r="CA23" s="1438"/>
      <c r="CB23" s="1438"/>
      <c r="CC23" s="1439"/>
      <c r="CH23" s="1433"/>
      <c r="CL23" s="1433"/>
      <c r="CP23" s="1491"/>
      <c r="CQ23" s="1492"/>
      <c r="CR23" s="1492"/>
      <c r="CS23" s="1492"/>
      <c r="CT23" s="1492"/>
      <c r="CU23" s="1492"/>
      <c r="CV23" s="1492"/>
      <c r="CW23" s="1492"/>
      <c r="CX23" s="1492"/>
      <c r="CY23" s="1492"/>
      <c r="CZ23" s="1492"/>
      <c r="DA23" s="1492"/>
      <c r="DB23" s="1492"/>
      <c r="DC23" s="1492"/>
      <c r="DD23" s="1492"/>
      <c r="DE23" s="1503"/>
      <c r="DG23" s="1432"/>
      <c r="DL23" s="1433"/>
      <c r="DP23" s="1433"/>
      <c r="DT23" s="1433"/>
      <c r="DW23" s="1478"/>
      <c r="DX23" s="1479"/>
      <c r="DY23" s="1479"/>
      <c r="DZ23" s="1479"/>
      <c r="EA23" s="1479"/>
      <c r="EB23" s="1479"/>
      <c r="EC23" s="1479"/>
      <c r="ED23" s="1479"/>
      <c r="EE23" s="1479"/>
      <c r="EF23" s="1479"/>
      <c r="EG23" s="1479"/>
      <c r="EH23" s="1479"/>
      <c r="EI23" s="1479"/>
      <c r="EJ23" s="1479"/>
      <c r="EK23" s="1479"/>
      <c r="EL23" s="1479"/>
      <c r="EM23" s="1479"/>
      <c r="EN23" s="1480"/>
      <c r="EP23" s="1433"/>
      <c r="ET23" s="1433"/>
      <c r="EY23" s="1433"/>
      <c r="FC23" s="1433"/>
      <c r="FG23" s="1432"/>
      <c r="FL23" s="1433"/>
      <c r="FP23" s="1433"/>
      <c r="FS23" s="1522" t="s">
        <v>313</v>
      </c>
      <c r="FT23" s="1523"/>
      <c r="FU23" s="1523"/>
      <c r="FV23" s="1523"/>
      <c r="FW23" s="1523"/>
      <c r="FX23" s="1523"/>
      <c r="FY23" s="1523"/>
      <c r="FZ23" s="1523"/>
      <c r="GA23" s="1523"/>
      <c r="GB23" s="1523"/>
      <c r="GC23" s="1523"/>
      <c r="GD23" s="1523"/>
      <c r="GE23" s="1523"/>
      <c r="GF23" s="1523"/>
      <c r="GG23" s="1524"/>
      <c r="GH23" s="1433"/>
      <c r="GL23" s="1433"/>
      <c r="GP23" s="1433"/>
      <c r="GT23" s="1433"/>
      <c r="GY23" s="1433"/>
      <c r="HC23" s="1433"/>
      <c r="HG23" s="1432"/>
      <c r="HL23" s="1433"/>
      <c r="HP23" s="1433"/>
      <c r="HT23" s="1433"/>
      <c r="HY23" s="1433"/>
      <c r="IC23" s="1433"/>
      <c r="IH23" s="1433"/>
      <c r="IL23" s="1433"/>
      <c r="IP23" s="1433"/>
      <c r="IT23" s="1433"/>
      <c r="IX23" s="1438"/>
      <c r="IY23" s="1438"/>
      <c r="IZ23" s="1438"/>
      <c r="JA23" s="1438"/>
      <c r="JB23" s="1438"/>
      <c r="JC23" s="1438"/>
      <c r="JD23" s="1438"/>
      <c r="JE23" s="1438"/>
      <c r="JF23" s="1438"/>
      <c r="JG23" s="1438"/>
      <c r="JH23" s="1438"/>
      <c r="JI23" s="1438"/>
      <c r="JJ23" s="1438"/>
      <c r="JK23" s="1438"/>
      <c r="JL23" s="1438"/>
      <c r="JM23" s="1438"/>
      <c r="JN23" s="1438"/>
      <c r="JO23" s="1438"/>
      <c r="JP23" s="1438"/>
      <c r="JQ23" s="1438"/>
      <c r="JR23" s="1438"/>
      <c r="JS23" s="1438"/>
      <c r="JT23" s="1438"/>
      <c r="JU23" s="1438"/>
      <c r="JV23" s="1438"/>
      <c r="JW23" s="1438"/>
      <c r="JX23" s="1438"/>
      <c r="JY23" s="1438"/>
      <c r="JZ23" s="1438"/>
      <c r="KA23" s="1438"/>
      <c r="KC23" s="1433"/>
      <c r="KH23" s="1433"/>
      <c r="KL23" s="1433"/>
      <c r="KP23" s="1433"/>
      <c r="KT23" s="1433"/>
      <c r="KY23" s="1433"/>
      <c r="LC23" s="1433"/>
      <c r="LG23" s="1432"/>
      <c r="LL23" s="1433"/>
      <c r="LP23" s="1433"/>
      <c r="LQ23" s="1430"/>
      <c r="LT23" s="1433"/>
      <c r="LY23" s="1433"/>
      <c r="MC23" s="1433"/>
      <c r="MH23" s="1433"/>
      <c r="MI23" s="1525"/>
      <c r="MJ23" s="1526"/>
      <c r="MK23" s="1526"/>
      <c r="ML23" s="1526"/>
      <c r="MM23" s="1526"/>
      <c r="MN23" s="1526"/>
      <c r="MO23" s="1526"/>
      <c r="MP23" s="1526"/>
      <c r="MQ23" s="1526"/>
      <c r="MR23" s="1526"/>
      <c r="MS23" s="1526"/>
      <c r="MT23" s="1526"/>
      <c r="MU23" s="1527"/>
      <c r="MY23" s="1433"/>
      <c r="NC23" s="1433"/>
      <c r="NG23" s="1432"/>
      <c r="NL23" s="1433"/>
      <c r="NP23" s="1433"/>
      <c r="NQ23" s="1487"/>
      <c r="NR23" s="1488"/>
      <c r="NS23" s="1488"/>
      <c r="NT23" s="1488"/>
      <c r="NU23" s="1488"/>
      <c r="NV23" s="1488"/>
      <c r="NW23" s="1488"/>
      <c r="NX23" s="1488"/>
      <c r="NY23" s="1488"/>
      <c r="NZ23" s="1488"/>
      <c r="OA23" s="1488"/>
      <c r="OB23" s="1488"/>
      <c r="OC23" s="1488"/>
      <c r="OD23" s="1488"/>
      <c r="OE23" s="1488"/>
      <c r="OF23" s="1488"/>
      <c r="OG23" s="1488"/>
      <c r="OH23" s="1488"/>
      <c r="OI23" s="1488"/>
      <c r="OL23" s="1433"/>
      <c r="OP23" s="1433"/>
      <c r="OT23" s="1433"/>
      <c r="OY23" s="1433"/>
      <c r="PC23" s="1433"/>
      <c r="PG23" s="1432"/>
      <c r="PL23" s="1433"/>
      <c r="PP23" s="1433"/>
      <c r="PT23" s="1433"/>
      <c r="PW23" s="1434"/>
      <c r="PX23" s="1434"/>
      <c r="PY23" s="1434"/>
      <c r="PZ23" s="1434"/>
      <c r="QA23" s="1434"/>
      <c r="QB23" s="1434"/>
      <c r="QC23" s="1434"/>
      <c r="QD23" s="1434"/>
      <c r="QE23" s="1434"/>
      <c r="QF23" s="1434"/>
      <c r="QG23" s="1434"/>
      <c r="QH23" s="1434"/>
      <c r="QI23" s="1434"/>
      <c r="QJ23" s="1434"/>
      <c r="QK23" s="1434"/>
      <c r="QL23" s="1434"/>
      <c r="QM23" s="1434"/>
      <c r="QN23" s="1434"/>
      <c r="QO23" s="1434"/>
      <c r="QP23" s="1434"/>
      <c r="QQ23" s="1434"/>
      <c r="QR23" s="1434"/>
      <c r="QS23" s="1434"/>
      <c r="QT23" s="1434"/>
      <c r="QU23" s="1434"/>
      <c r="QY23" s="1433"/>
      <c r="RC23" s="1433"/>
      <c r="RG23" s="1432"/>
    </row>
    <row r="24" spans="2:475" s="1504" customFormat="1" ht="19.899999999999999" customHeight="1" x14ac:dyDescent="0.25">
      <c r="B24" s="1576"/>
      <c r="C24" s="1540">
        <f t="shared" si="0"/>
        <v>20</v>
      </c>
      <c r="D24" s="1541"/>
      <c r="G24" s="1542"/>
      <c r="L24" s="1543"/>
      <c r="P24" s="1543"/>
      <c r="T24" s="1543"/>
      <c r="U24" s="1544"/>
      <c r="V24" s="1544"/>
      <c r="W24" s="1434"/>
      <c r="X24" s="1434"/>
      <c r="Y24" s="1434"/>
      <c r="Z24" s="1434"/>
      <c r="AA24" s="1434"/>
      <c r="AB24" s="1434"/>
      <c r="AC24" s="1434"/>
      <c r="AD24" s="1434"/>
      <c r="AE24" s="1434"/>
      <c r="AF24" s="1434"/>
      <c r="AG24" s="1434"/>
      <c r="AH24" s="1434"/>
      <c r="AI24" s="1434"/>
      <c r="AJ24" s="1434"/>
      <c r="AK24" s="1434"/>
      <c r="AL24" s="1434"/>
      <c r="AM24" s="1434"/>
      <c r="AN24" s="1434"/>
      <c r="AO24" s="1434"/>
      <c r="AP24" s="1434"/>
      <c r="AQ24" s="1434"/>
      <c r="AR24" s="1434"/>
      <c r="AS24" s="1434"/>
      <c r="AT24" s="1434"/>
      <c r="AU24" s="1434"/>
      <c r="AX24" s="1455"/>
      <c r="AY24" s="1455"/>
      <c r="AZ24" s="1455"/>
      <c r="BA24" s="1455"/>
      <c r="BB24" s="1455"/>
      <c r="BC24" s="1455"/>
      <c r="BD24" s="1455"/>
      <c r="BE24" s="1455"/>
      <c r="BF24" s="1455"/>
      <c r="BG24" s="1455"/>
      <c r="BH24" s="1455"/>
      <c r="BI24" s="1455"/>
      <c r="BJ24" s="1455"/>
      <c r="BK24" s="1455"/>
      <c r="BL24" s="1455"/>
      <c r="BM24" s="1455"/>
      <c r="BN24" s="1455"/>
      <c r="BO24" s="1455"/>
      <c r="BP24" s="1455"/>
      <c r="BQ24" s="1455"/>
      <c r="BR24" s="1455"/>
      <c r="BS24" s="1455"/>
      <c r="BT24" s="1455"/>
      <c r="BU24" s="1455"/>
      <c r="BV24" s="1455"/>
      <c r="BW24" s="1455"/>
      <c r="BX24" s="1455"/>
      <c r="BY24" s="1455"/>
      <c r="BZ24" s="1455"/>
      <c r="CA24" s="1455"/>
      <c r="CB24" s="1455"/>
      <c r="CC24" s="1456"/>
      <c r="CH24" s="1543"/>
      <c r="CL24" s="1543"/>
      <c r="CP24" s="1543"/>
      <c r="CT24" s="1543"/>
      <c r="CY24" s="1543"/>
      <c r="DC24" s="1543"/>
      <c r="DG24" s="1542"/>
      <c r="DL24" s="1543"/>
      <c r="DP24" s="1543"/>
      <c r="DT24" s="1543"/>
      <c r="DW24" s="1496"/>
      <c r="DX24" s="1514"/>
      <c r="DY24" s="1514"/>
      <c r="DZ24" s="1514"/>
      <c r="EA24" s="1514"/>
      <c r="EB24" s="1514"/>
      <c r="EC24" s="1514"/>
      <c r="ED24" s="1514"/>
      <c r="EE24" s="1514"/>
      <c r="EF24" s="1514"/>
      <c r="EG24" s="1514"/>
      <c r="EH24" s="1514"/>
      <c r="EI24" s="1514"/>
      <c r="EJ24" s="1514"/>
      <c r="EK24" s="1514"/>
      <c r="EL24" s="1514"/>
      <c r="EM24" s="1514"/>
      <c r="EN24" s="1515"/>
      <c r="EP24" s="1543"/>
      <c r="ET24" s="1543"/>
      <c r="EY24" s="1543"/>
      <c r="FC24" s="1543"/>
      <c r="FG24" s="1542"/>
      <c r="FL24" s="1543"/>
      <c r="FP24" s="1543"/>
      <c r="FS24" s="1530"/>
      <c r="FT24" s="1531"/>
      <c r="FU24" s="1531"/>
      <c r="FV24" s="1531"/>
      <c r="FW24" s="1531"/>
      <c r="FX24" s="1531"/>
      <c r="FY24" s="1531"/>
      <c r="FZ24" s="1531"/>
      <c r="GA24" s="1531"/>
      <c r="GB24" s="1531"/>
      <c r="GC24" s="1531"/>
      <c r="GD24" s="1531"/>
      <c r="GE24" s="1531"/>
      <c r="GF24" s="1531"/>
      <c r="GG24" s="1532"/>
      <c r="GH24" s="1543"/>
      <c r="GL24" s="1543"/>
      <c r="GP24" s="1543"/>
      <c r="GT24" s="1543"/>
      <c r="GY24" s="1543"/>
      <c r="HC24" s="1543"/>
      <c r="HG24" s="1542"/>
      <c r="HL24" s="1543"/>
      <c r="HP24" s="1543"/>
      <c r="HT24" s="1543"/>
      <c r="HY24" s="1543"/>
      <c r="IC24" s="1543"/>
      <c r="IH24" s="1543"/>
      <c r="IL24" s="1543"/>
      <c r="IP24" s="1543"/>
      <c r="IT24" s="1543"/>
      <c r="IX24" s="1455"/>
      <c r="IY24" s="1455"/>
      <c r="IZ24" s="1455"/>
      <c r="JA24" s="1455"/>
      <c r="JB24" s="1455"/>
      <c r="JC24" s="1455"/>
      <c r="JD24" s="1455"/>
      <c r="JE24" s="1455"/>
      <c r="JF24" s="1455"/>
      <c r="JG24" s="1455"/>
      <c r="JH24" s="1455"/>
      <c r="JI24" s="1455"/>
      <c r="JJ24" s="1455"/>
      <c r="JK24" s="1455"/>
      <c r="JL24" s="1455"/>
      <c r="JM24" s="1455"/>
      <c r="JN24" s="1455"/>
      <c r="JO24" s="1455"/>
      <c r="JP24" s="1455"/>
      <c r="JQ24" s="1455"/>
      <c r="JR24" s="1455"/>
      <c r="JS24" s="1455"/>
      <c r="JT24" s="1455"/>
      <c r="JU24" s="1455"/>
      <c r="JV24" s="1455"/>
      <c r="JW24" s="1455"/>
      <c r="JX24" s="1455"/>
      <c r="JY24" s="1455"/>
      <c r="JZ24" s="1455"/>
      <c r="KA24" s="1455"/>
      <c r="KC24" s="1543"/>
      <c r="KH24" s="1543"/>
      <c r="KL24" s="1543"/>
      <c r="KP24" s="1543"/>
      <c r="KT24" s="1543"/>
      <c r="KY24" s="1543"/>
      <c r="LC24" s="1543"/>
      <c r="LG24" s="1542"/>
      <c r="LL24" s="1543"/>
      <c r="LP24" s="1543"/>
      <c r="LQ24" s="1541"/>
      <c r="LT24" s="1543"/>
      <c r="LY24" s="1543"/>
      <c r="MC24" s="1543"/>
      <c r="MH24" s="1543"/>
      <c r="MI24" s="1530"/>
      <c r="MJ24" s="1531"/>
      <c r="MK24" s="1531"/>
      <c r="ML24" s="1531"/>
      <c r="MM24" s="1531"/>
      <c r="MN24" s="1531"/>
      <c r="MO24" s="1531"/>
      <c r="MP24" s="1531"/>
      <c r="MQ24" s="1531"/>
      <c r="MR24" s="1531"/>
      <c r="MS24" s="1531"/>
      <c r="MT24" s="1531"/>
      <c r="MU24" s="1532"/>
      <c r="MY24" s="1543"/>
      <c r="NC24" s="1543"/>
      <c r="NG24" s="1542"/>
      <c r="NL24" s="1543"/>
      <c r="NP24" s="1543"/>
      <c r="NQ24" s="1533"/>
      <c r="NR24" s="1534"/>
      <c r="NS24" s="1534"/>
      <c r="NT24" s="1534"/>
      <c r="NU24" s="1534"/>
      <c r="NV24" s="1534"/>
      <c r="NW24" s="1534"/>
      <c r="NX24" s="1534"/>
      <c r="NY24" s="1534"/>
      <c r="NZ24" s="1534"/>
      <c r="OA24" s="1534"/>
      <c r="OB24" s="1534"/>
      <c r="OC24" s="1534"/>
      <c r="OD24" s="1534"/>
      <c r="OE24" s="1534"/>
      <c r="OF24" s="1534"/>
      <c r="OG24" s="1534"/>
      <c r="OH24" s="1534"/>
      <c r="OI24" s="1534"/>
      <c r="OL24" s="1543"/>
      <c r="OP24" s="1543"/>
      <c r="OT24" s="1543"/>
      <c r="OY24" s="1543"/>
      <c r="PC24" s="1543"/>
      <c r="PG24" s="1542"/>
      <c r="PL24" s="1543"/>
      <c r="PP24" s="1543"/>
      <c r="PT24" s="1543"/>
      <c r="PW24" s="1434"/>
      <c r="PX24" s="1434"/>
      <c r="PY24" s="1434"/>
      <c r="PZ24" s="1434"/>
      <c r="QA24" s="1434"/>
      <c r="QB24" s="1434"/>
      <c r="QC24" s="1434"/>
      <c r="QD24" s="1434"/>
      <c r="QE24" s="1434"/>
      <c r="QF24" s="1434"/>
      <c r="QG24" s="1434"/>
      <c r="QH24" s="1434"/>
      <c r="QI24" s="1434"/>
      <c r="QJ24" s="1434"/>
      <c r="QK24" s="1434"/>
      <c r="QL24" s="1434"/>
      <c r="QM24" s="1434"/>
      <c r="QN24" s="1434"/>
      <c r="QO24" s="1434"/>
      <c r="QP24" s="1434"/>
      <c r="QQ24" s="1434"/>
      <c r="QR24" s="1434"/>
      <c r="QS24" s="1434"/>
      <c r="QT24" s="1434"/>
      <c r="QU24" s="1434"/>
      <c r="QY24" s="1543"/>
      <c r="RC24" s="1543"/>
      <c r="RG24" s="1542"/>
    </row>
    <row r="25" spans="2:475" s="580" customFormat="1" ht="19.899999999999999" customHeight="1" x14ac:dyDescent="0.25">
      <c r="B25" s="1116" t="s">
        <v>277</v>
      </c>
      <c r="C25" s="1362">
        <f t="shared" si="0"/>
        <v>21</v>
      </c>
      <c r="D25" s="1427"/>
      <c r="E25" s="1426"/>
      <c r="F25" s="1426"/>
      <c r="G25" s="1428"/>
      <c r="H25" s="1426"/>
      <c r="I25" s="1426"/>
      <c r="L25" s="1421"/>
      <c r="N25" s="1422"/>
      <c r="O25" s="1422"/>
      <c r="P25" s="1423"/>
      <c r="Q25" s="1422"/>
      <c r="R25" s="1422"/>
      <c r="S25" s="1422"/>
      <c r="T25" s="1423"/>
      <c r="U25" s="1422"/>
      <c r="V25" s="1424"/>
      <c r="W25" s="1077" t="s">
        <v>318</v>
      </c>
      <c r="X25" s="1078"/>
      <c r="Y25" s="1078"/>
      <c r="Z25" s="1078"/>
      <c r="AA25" s="1078"/>
      <c r="AB25" s="1078"/>
      <c r="AC25" s="1078"/>
      <c r="AD25" s="1078"/>
      <c r="AE25" s="1078"/>
      <c r="AF25" s="1078"/>
      <c r="AG25" s="1078"/>
      <c r="AH25" s="1078"/>
      <c r="AI25" s="1078"/>
      <c r="AJ25" s="1078"/>
      <c r="AK25" s="1078"/>
      <c r="AL25" s="1078"/>
      <c r="AM25" s="1078"/>
      <c r="AN25" s="1078"/>
      <c r="AO25" s="1078"/>
      <c r="AP25" s="1078"/>
      <c r="AQ25" s="1078"/>
      <c r="AR25" s="1078"/>
      <c r="AS25" s="1078"/>
      <c r="AT25" s="1078"/>
      <c r="AU25" s="1079"/>
      <c r="AV25" s="1424"/>
      <c r="AW25" s="1424"/>
      <c r="AX25" s="1424"/>
      <c r="AY25" s="1425"/>
      <c r="AZ25" s="1424"/>
      <c r="BC25" s="1421"/>
      <c r="BG25" s="1420"/>
      <c r="BH25" s="1426"/>
      <c r="BI25" s="1426"/>
      <c r="BL25" s="1421"/>
      <c r="BN25" s="1422"/>
      <c r="BO25" s="1422"/>
      <c r="BP25" s="1423"/>
      <c r="BQ25" s="1422"/>
      <c r="BR25" s="1422"/>
      <c r="BS25" s="1422"/>
      <c r="BT25" s="1423"/>
      <c r="BY25" s="1421"/>
      <c r="CC25" s="1421"/>
      <c r="CH25" s="1421"/>
      <c r="CL25" s="1421"/>
      <c r="CP25" s="1421"/>
      <c r="CT25" s="1421"/>
      <c r="CY25" s="1421"/>
      <c r="DC25" s="1421"/>
      <c r="DG25" s="1420"/>
      <c r="DL25" s="1421"/>
      <c r="DP25" s="1421"/>
      <c r="DT25" s="1421"/>
      <c r="DY25" s="1421"/>
      <c r="EC25" s="1421"/>
      <c r="EH25" s="1421"/>
      <c r="EL25" s="1421"/>
      <c r="EP25" s="1421"/>
      <c r="ET25" s="1421"/>
      <c r="EY25" s="1421"/>
      <c r="FC25" s="1421"/>
      <c r="FG25" s="1420"/>
      <c r="FL25" s="1421"/>
      <c r="FP25" s="1421"/>
      <c r="FT25" s="1421"/>
      <c r="FY25" s="1421"/>
      <c r="GC25" s="1421"/>
      <c r="GH25" s="1421"/>
      <c r="GL25" s="1421"/>
      <c r="GP25" s="1421"/>
      <c r="GT25" s="1421"/>
      <c r="GY25" s="1421"/>
      <c r="HC25" s="1421"/>
      <c r="HG25" s="1420"/>
      <c r="HL25" s="1421"/>
      <c r="HP25" s="1421"/>
      <c r="HT25" s="1421"/>
      <c r="HY25" s="1421"/>
      <c r="IC25" s="1421"/>
      <c r="IH25" s="1421"/>
      <c r="IL25" s="1421"/>
      <c r="IP25" s="1421"/>
      <c r="IT25" s="1421"/>
      <c r="IY25" s="1421"/>
      <c r="JC25" s="1421"/>
      <c r="JG25" s="1420"/>
      <c r="JL25" s="1421"/>
      <c r="JP25" s="1421"/>
      <c r="JT25" s="1421"/>
      <c r="JY25" s="1421"/>
      <c r="KC25" s="1421"/>
      <c r="KH25" s="1421"/>
      <c r="KL25" s="1421"/>
      <c r="KP25" s="1421"/>
      <c r="KT25" s="1421"/>
      <c r="KY25" s="1421"/>
      <c r="LC25" s="1421"/>
      <c r="LG25" s="1420"/>
      <c r="LL25" s="1421"/>
      <c r="LP25" s="1421"/>
      <c r="LT25" s="1421"/>
      <c r="LY25" s="1421"/>
      <c r="MC25" s="1421"/>
      <c r="MH25" s="1421"/>
      <c r="ML25" s="1421"/>
      <c r="MP25" s="1421"/>
      <c r="MT25" s="1421"/>
      <c r="MY25" s="1421"/>
      <c r="NC25" s="1421"/>
      <c r="NG25" s="1420"/>
      <c r="NL25" s="1421"/>
      <c r="NP25" s="1421"/>
      <c r="NT25" s="1421"/>
      <c r="NY25" s="1421"/>
      <c r="OC25" s="1421"/>
      <c r="OH25" s="1421"/>
      <c r="OL25" s="1421"/>
      <c r="OP25" s="1421"/>
      <c r="OT25" s="1421"/>
      <c r="OY25" s="1421"/>
      <c r="PC25" s="1421"/>
      <c r="PG25" s="1420"/>
      <c r="PL25" s="1421"/>
      <c r="PP25" s="1421"/>
      <c r="PT25" s="1421"/>
      <c r="PY25" s="1421"/>
      <c r="QC25" s="1421"/>
      <c r="QH25" s="1421"/>
      <c r="QL25" s="1421"/>
      <c r="QP25" s="1421"/>
      <c r="QT25" s="1421"/>
      <c r="QY25" s="1421"/>
      <c r="RC25" s="1421"/>
      <c r="RG25" s="1420"/>
    </row>
    <row r="26" spans="2:475" ht="19.899999999999999" customHeight="1" x14ac:dyDescent="0.25">
      <c r="B26" s="1114"/>
      <c r="C26" s="78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0"/>
      <c r="X26" s="1081"/>
      <c r="Y26" s="1081"/>
      <c r="Z26" s="1081"/>
      <c r="AA26" s="1081"/>
      <c r="AB26" s="1081"/>
      <c r="AC26" s="1081"/>
      <c r="AD26" s="1081"/>
      <c r="AE26" s="1081"/>
      <c r="AF26" s="1081"/>
      <c r="AG26" s="1081"/>
      <c r="AH26" s="1081"/>
      <c r="AI26" s="1081"/>
      <c r="AJ26" s="1081"/>
      <c r="AK26" s="1081"/>
      <c r="AL26" s="1081"/>
      <c r="AM26" s="1081"/>
      <c r="AN26" s="1081"/>
      <c r="AO26" s="1081"/>
      <c r="AP26" s="1081"/>
      <c r="AQ26" s="1081"/>
      <c r="AR26" s="1081"/>
      <c r="AS26" s="1081"/>
      <c r="AT26" s="1081"/>
      <c r="AU26" s="108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14"/>
      <c r="C27" s="78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0"/>
      <c r="X27" s="1081"/>
      <c r="Y27" s="1081"/>
      <c r="Z27" s="1081"/>
      <c r="AA27" s="1081"/>
      <c r="AB27" s="1081"/>
      <c r="AC27" s="1081"/>
      <c r="AD27" s="1081"/>
      <c r="AE27" s="1081"/>
      <c r="AF27" s="1081"/>
      <c r="AG27" s="1081"/>
      <c r="AH27" s="1081"/>
      <c r="AI27" s="1081"/>
      <c r="AJ27" s="1081"/>
      <c r="AK27" s="1081"/>
      <c r="AL27" s="1081"/>
      <c r="AM27" s="1081"/>
      <c r="AN27" s="1081"/>
      <c r="AO27" s="1081"/>
      <c r="AP27" s="1081"/>
      <c r="AQ27" s="1081"/>
      <c r="AR27" s="1081"/>
      <c r="AS27" s="1081"/>
      <c r="AT27" s="1081"/>
      <c r="AU27" s="108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14"/>
      <c r="C28" s="789">
        <f t="shared" si="0"/>
        <v>24</v>
      </c>
      <c r="D28" s="352"/>
      <c r="U28" s="350"/>
      <c r="V28" s="350"/>
      <c r="W28" s="1080"/>
      <c r="X28" s="1081"/>
      <c r="Y28" s="1081"/>
      <c r="Z28" s="1081"/>
      <c r="AA28" s="1081"/>
      <c r="AB28" s="1081"/>
      <c r="AC28" s="1081"/>
      <c r="AD28" s="1081"/>
      <c r="AE28" s="1081"/>
      <c r="AF28" s="1081"/>
      <c r="AG28" s="1081"/>
      <c r="AH28" s="1081"/>
      <c r="AI28" s="1081"/>
      <c r="AJ28" s="1081"/>
      <c r="AK28" s="1081"/>
      <c r="AL28" s="1081"/>
      <c r="AM28" s="1081"/>
      <c r="AN28" s="1081"/>
      <c r="AO28" s="1081"/>
      <c r="AP28" s="1081"/>
      <c r="AQ28" s="1081"/>
      <c r="AR28" s="1081"/>
      <c r="AS28" s="1081"/>
      <c r="AT28" s="1081"/>
      <c r="AU28" s="1082"/>
      <c r="BT28" s="159"/>
    </row>
    <row r="29" spans="2:475" ht="19.899999999999999" customHeight="1" x14ac:dyDescent="0.25">
      <c r="B29" s="1114"/>
      <c r="C29" s="78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0"/>
      <c r="X29" s="1081"/>
      <c r="Y29" s="1081"/>
      <c r="Z29" s="1081"/>
      <c r="AA29" s="1081"/>
      <c r="AB29" s="1081"/>
      <c r="AC29" s="1081"/>
      <c r="AD29" s="1081"/>
      <c r="AE29" s="1081"/>
      <c r="AF29" s="1081"/>
      <c r="AG29" s="1081"/>
      <c r="AH29" s="1081"/>
      <c r="AI29" s="1081"/>
      <c r="AJ29" s="1081"/>
      <c r="AK29" s="1081"/>
      <c r="AL29" s="1081"/>
      <c r="AM29" s="1081"/>
      <c r="AN29" s="1081"/>
      <c r="AO29" s="1081"/>
      <c r="AP29" s="1081"/>
      <c r="AQ29" s="1081"/>
      <c r="AR29" s="1081"/>
      <c r="AS29" s="1081"/>
      <c r="AT29" s="1081"/>
      <c r="AU29" s="108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14"/>
      <c r="C30" s="78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0"/>
      <c r="X30" s="1081"/>
      <c r="Y30" s="1081"/>
      <c r="Z30" s="1081"/>
      <c r="AA30" s="1081"/>
      <c r="AB30" s="1081"/>
      <c r="AC30" s="1081"/>
      <c r="AD30" s="1081"/>
      <c r="AE30" s="1081"/>
      <c r="AF30" s="1081"/>
      <c r="AG30" s="1081"/>
      <c r="AH30" s="1081"/>
      <c r="AI30" s="1081"/>
      <c r="AJ30" s="1081"/>
      <c r="AK30" s="1081"/>
      <c r="AL30" s="1081"/>
      <c r="AM30" s="1081"/>
      <c r="AN30" s="1081"/>
      <c r="AO30" s="1081"/>
      <c r="AP30" s="1081"/>
      <c r="AQ30" s="1081"/>
      <c r="AR30" s="1081"/>
      <c r="AS30" s="1081"/>
      <c r="AT30" s="1081"/>
      <c r="AU30" s="108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14"/>
      <c r="C31" s="78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0"/>
      <c r="X31" s="1081"/>
      <c r="Y31" s="1081"/>
      <c r="Z31" s="1081"/>
      <c r="AA31" s="1081"/>
      <c r="AB31" s="1081"/>
      <c r="AC31" s="1081"/>
      <c r="AD31" s="1081"/>
      <c r="AE31" s="1081"/>
      <c r="AF31" s="1081"/>
      <c r="AG31" s="1081"/>
      <c r="AH31" s="1081"/>
      <c r="AI31" s="1081"/>
      <c r="AJ31" s="1081"/>
      <c r="AK31" s="1081"/>
      <c r="AL31" s="1081"/>
      <c r="AM31" s="1081"/>
      <c r="AN31" s="1081"/>
      <c r="AO31" s="1081"/>
      <c r="AP31" s="1081"/>
      <c r="AQ31" s="1081"/>
      <c r="AR31" s="1081"/>
      <c r="AS31" s="1081"/>
      <c r="AT31" s="1081"/>
      <c r="AU31" s="108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14"/>
      <c r="C32" s="78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0"/>
      <c r="X32" s="1081"/>
      <c r="Y32" s="1081"/>
      <c r="Z32" s="1081"/>
      <c r="AA32" s="1081"/>
      <c r="AB32" s="1081"/>
      <c r="AC32" s="1081"/>
      <c r="AD32" s="1081"/>
      <c r="AE32" s="1081"/>
      <c r="AF32" s="1081"/>
      <c r="AG32" s="1081"/>
      <c r="AH32" s="1081"/>
      <c r="AI32" s="1081"/>
      <c r="AJ32" s="1081"/>
      <c r="AK32" s="1081"/>
      <c r="AL32" s="1081"/>
      <c r="AM32" s="1081"/>
      <c r="AN32" s="1081"/>
      <c r="AO32" s="1081"/>
      <c r="AP32" s="1081"/>
      <c r="AQ32" s="1081"/>
      <c r="AR32" s="1081"/>
      <c r="AS32" s="1081"/>
      <c r="AT32" s="1081"/>
      <c r="AU32" s="108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14"/>
      <c r="C33" s="78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0"/>
      <c r="X33" s="1081"/>
      <c r="Y33" s="1081"/>
      <c r="Z33" s="1081"/>
      <c r="AA33" s="1081"/>
      <c r="AB33" s="1081"/>
      <c r="AC33" s="1081"/>
      <c r="AD33" s="1081"/>
      <c r="AE33" s="1081"/>
      <c r="AF33" s="1081"/>
      <c r="AG33" s="1081"/>
      <c r="AH33" s="1081"/>
      <c r="AI33" s="1081"/>
      <c r="AJ33" s="1081"/>
      <c r="AK33" s="1081"/>
      <c r="AL33" s="1081"/>
      <c r="AM33" s="1081"/>
      <c r="AN33" s="1081"/>
      <c r="AO33" s="1081"/>
      <c r="AP33" s="1081"/>
      <c r="AQ33" s="1081"/>
      <c r="AR33" s="1081"/>
      <c r="AS33" s="1081"/>
      <c r="AT33" s="1081"/>
      <c r="AU33" s="108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14"/>
      <c r="C34" s="78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0"/>
      <c r="X34" s="1081"/>
      <c r="Y34" s="1081"/>
      <c r="Z34" s="1081"/>
      <c r="AA34" s="1081"/>
      <c r="AB34" s="1081"/>
      <c r="AC34" s="1081"/>
      <c r="AD34" s="1081"/>
      <c r="AE34" s="1081"/>
      <c r="AF34" s="1081"/>
      <c r="AG34" s="1081"/>
      <c r="AH34" s="1081"/>
      <c r="AI34" s="1081"/>
      <c r="AJ34" s="1081"/>
      <c r="AK34" s="1081"/>
      <c r="AL34" s="1081"/>
      <c r="AM34" s="1081"/>
      <c r="AN34" s="1081"/>
      <c r="AO34" s="1081"/>
      <c r="AP34" s="1081"/>
      <c r="AQ34" s="1081"/>
      <c r="AR34" s="1081"/>
      <c r="AS34" s="1081"/>
      <c r="AT34" s="1081"/>
      <c r="AU34" s="108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14"/>
      <c r="C35" s="78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0"/>
      <c r="X35" s="1081"/>
      <c r="Y35" s="1081"/>
      <c r="Z35" s="1081"/>
      <c r="AA35" s="1081"/>
      <c r="AB35" s="1081"/>
      <c r="AC35" s="1081"/>
      <c r="AD35" s="1081"/>
      <c r="AE35" s="1081"/>
      <c r="AF35" s="1081"/>
      <c r="AG35" s="1081"/>
      <c r="AH35" s="1081"/>
      <c r="AI35" s="1081"/>
      <c r="AJ35" s="1081"/>
      <c r="AK35" s="1081"/>
      <c r="AL35" s="1081"/>
      <c r="AM35" s="1081"/>
      <c r="AN35" s="1081"/>
      <c r="AO35" s="1081"/>
      <c r="AP35" s="1081"/>
      <c r="AQ35" s="1081"/>
      <c r="AR35" s="1081"/>
      <c r="AS35" s="1081"/>
      <c r="AT35" s="1081"/>
      <c r="AU35" s="108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14"/>
      <c r="C36" s="78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0"/>
      <c r="X36" s="1081"/>
      <c r="Y36" s="1081"/>
      <c r="Z36" s="1081"/>
      <c r="AA36" s="1081"/>
      <c r="AB36" s="1081"/>
      <c r="AC36" s="1081"/>
      <c r="AD36" s="1081"/>
      <c r="AE36" s="1081"/>
      <c r="AF36" s="1081"/>
      <c r="AG36" s="1081"/>
      <c r="AH36" s="1081"/>
      <c r="AI36" s="1081"/>
      <c r="AJ36" s="1081"/>
      <c r="AK36" s="1081"/>
      <c r="AL36" s="1081"/>
      <c r="AM36" s="1081"/>
      <c r="AN36" s="1081"/>
      <c r="AO36" s="1081"/>
      <c r="AP36" s="1081"/>
      <c r="AQ36" s="1081"/>
      <c r="AR36" s="1081"/>
      <c r="AS36" s="1081"/>
      <c r="AT36" s="1081"/>
      <c r="AU36" s="108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14"/>
      <c r="C37" s="789">
        <f t="shared" si="1"/>
        <v>33</v>
      </c>
      <c r="D37" s="352"/>
      <c r="U37" s="350"/>
      <c r="V37" s="350"/>
      <c r="W37" s="1080"/>
      <c r="X37" s="1081"/>
      <c r="Y37" s="1081"/>
      <c r="Z37" s="1081"/>
      <c r="AA37" s="1081"/>
      <c r="AB37" s="1081"/>
      <c r="AC37" s="1081"/>
      <c r="AD37" s="1081"/>
      <c r="AE37" s="1081"/>
      <c r="AF37" s="1081"/>
      <c r="AG37" s="1081"/>
      <c r="AH37" s="1081"/>
      <c r="AI37" s="1081"/>
      <c r="AJ37" s="1081"/>
      <c r="AK37" s="1081"/>
      <c r="AL37" s="1081"/>
      <c r="AM37" s="1081"/>
      <c r="AN37" s="1081"/>
      <c r="AO37" s="1081"/>
      <c r="AP37" s="1081"/>
      <c r="AQ37" s="1081"/>
      <c r="AR37" s="1081"/>
      <c r="AS37" s="1081"/>
      <c r="AT37" s="1081"/>
      <c r="AU37" s="1082"/>
      <c r="BT37" s="159"/>
    </row>
    <row r="38" spans="2:475" ht="19.899999999999999" customHeight="1" x14ac:dyDescent="0.25">
      <c r="B38" s="1114"/>
      <c r="C38" s="789">
        <f t="shared" si="1"/>
        <v>34</v>
      </c>
      <c r="D38" s="353"/>
      <c r="E38" s="349"/>
      <c r="F38" s="349"/>
      <c r="G38" s="562"/>
      <c r="W38" s="1080"/>
      <c r="X38" s="1081"/>
      <c r="Y38" s="1081"/>
      <c r="Z38" s="1081"/>
      <c r="AA38" s="1081"/>
      <c r="AB38" s="1081"/>
      <c r="AC38" s="1081"/>
      <c r="AD38" s="1081"/>
      <c r="AE38" s="1081"/>
      <c r="AF38" s="1081"/>
      <c r="AG38" s="1081"/>
      <c r="AH38" s="1081"/>
      <c r="AI38" s="1081"/>
      <c r="AJ38" s="1081"/>
      <c r="AK38" s="1081"/>
      <c r="AL38" s="1081"/>
      <c r="AM38" s="1081"/>
      <c r="AN38" s="1081"/>
      <c r="AO38" s="1081"/>
      <c r="AP38" s="1081"/>
      <c r="AQ38" s="1081"/>
      <c r="AR38" s="1081"/>
      <c r="AS38" s="1081"/>
      <c r="AT38" s="1081"/>
      <c r="AU38" s="108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114"/>
      <c r="C39" s="789">
        <f t="shared" si="1"/>
        <v>35</v>
      </c>
      <c r="D39" s="353"/>
      <c r="E39" s="349"/>
      <c r="F39" s="349"/>
      <c r="G39" s="562"/>
      <c r="W39" s="1080"/>
      <c r="X39" s="1081"/>
      <c r="Y39" s="1081"/>
      <c r="Z39" s="1081"/>
      <c r="AA39" s="1081"/>
      <c r="AB39" s="1081"/>
      <c r="AC39" s="1081"/>
      <c r="AD39" s="1081"/>
      <c r="AE39" s="1081"/>
      <c r="AF39" s="1081"/>
      <c r="AG39" s="1081"/>
      <c r="AH39" s="1081"/>
      <c r="AI39" s="1081"/>
      <c r="AJ39" s="1081"/>
      <c r="AK39" s="1081"/>
      <c r="AL39" s="1081"/>
      <c r="AM39" s="1081"/>
      <c r="AN39" s="1081"/>
      <c r="AO39" s="1081"/>
      <c r="AP39" s="1081"/>
      <c r="AQ39" s="1081"/>
      <c r="AR39" s="1081"/>
      <c r="AS39" s="1081"/>
      <c r="AT39" s="1081"/>
      <c r="AU39" s="108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114"/>
      <c r="C40" s="789">
        <f t="shared" si="1"/>
        <v>36</v>
      </c>
      <c r="D40" s="353"/>
      <c r="E40" s="349"/>
      <c r="F40" s="349"/>
      <c r="G40" s="562"/>
      <c r="W40" s="1080"/>
      <c r="X40" s="1081"/>
      <c r="Y40" s="1081"/>
      <c r="Z40" s="1081"/>
      <c r="AA40" s="1081"/>
      <c r="AB40" s="1081"/>
      <c r="AC40" s="1081"/>
      <c r="AD40" s="1081"/>
      <c r="AE40" s="1081"/>
      <c r="AF40" s="1081"/>
      <c r="AG40" s="1081"/>
      <c r="AH40" s="1081"/>
      <c r="AI40" s="1081"/>
      <c r="AJ40" s="1081"/>
      <c r="AK40" s="1081"/>
      <c r="AL40" s="1081"/>
      <c r="AM40" s="1081"/>
      <c r="AN40" s="1081"/>
      <c r="AO40" s="1081"/>
      <c r="AP40" s="1081"/>
      <c r="AQ40" s="1081"/>
      <c r="AR40" s="1081"/>
      <c r="AS40" s="1081"/>
      <c r="AT40" s="1081"/>
      <c r="AU40" s="108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114"/>
      <c r="C41" s="789">
        <f t="shared" si="1"/>
        <v>37</v>
      </c>
      <c r="D41" s="353"/>
      <c r="E41" s="349"/>
      <c r="F41" s="349"/>
      <c r="G41" s="562"/>
      <c r="W41" s="1080"/>
      <c r="X41" s="1081"/>
      <c r="Y41" s="1081"/>
      <c r="Z41" s="1081"/>
      <c r="AA41" s="1081"/>
      <c r="AB41" s="1081"/>
      <c r="AC41" s="1081"/>
      <c r="AD41" s="1081"/>
      <c r="AE41" s="1081"/>
      <c r="AF41" s="1081"/>
      <c r="AG41" s="1081"/>
      <c r="AH41" s="1081"/>
      <c r="AI41" s="1081"/>
      <c r="AJ41" s="1081"/>
      <c r="AK41" s="1081"/>
      <c r="AL41" s="1081"/>
      <c r="AM41" s="1081"/>
      <c r="AN41" s="1081"/>
      <c r="AO41" s="1081"/>
      <c r="AP41" s="1081"/>
      <c r="AQ41" s="1081"/>
      <c r="AR41" s="1081"/>
      <c r="AS41" s="1081"/>
      <c r="AT41" s="1081"/>
      <c r="AU41" s="108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114"/>
      <c r="C42" s="789">
        <f t="shared" si="1"/>
        <v>38</v>
      </c>
      <c r="D42" s="353"/>
      <c r="E42" s="349"/>
      <c r="F42" s="349"/>
      <c r="G42" s="562"/>
      <c r="W42" s="1083"/>
      <c r="X42" s="1084"/>
      <c r="Y42" s="1084"/>
      <c r="Z42" s="1084"/>
      <c r="AA42" s="1084"/>
      <c r="AB42" s="1084"/>
      <c r="AC42" s="1084"/>
      <c r="AD42" s="1084"/>
      <c r="AE42" s="1084"/>
      <c r="AF42" s="1084"/>
      <c r="AG42" s="1084"/>
      <c r="AH42" s="1084"/>
      <c r="AI42" s="1084"/>
      <c r="AJ42" s="1084"/>
      <c r="AK42" s="1084"/>
      <c r="AL42" s="1084"/>
      <c r="AM42" s="1084"/>
      <c r="AN42" s="1084"/>
      <c r="AO42" s="1084"/>
      <c r="AP42" s="1084"/>
      <c r="AQ42" s="1084"/>
      <c r="AR42" s="1084"/>
      <c r="AS42" s="1084"/>
      <c r="AT42" s="1084"/>
      <c r="AU42" s="108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114"/>
      <c r="C43" s="78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115"/>
      <c r="C44" s="79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117" t="s">
        <v>276</v>
      </c>
      <c r="C45" s="787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4" t="s">
        <v>326</v>
      </c>
      <c r="AN45" s="1104"/>
      <c r="AO45" s="1104"/>
      <c r="AP45" s="1104"/>
      <c r="AQ45" s="1104"/>
      <c r="AR45" s="1104"/>
      <c r="AS45" s="1104"/>
      <c r="AT45" s="1104"/>
      <c r="AU45" s="1104"/>
      <c r="AV45" s="1104"/>
      <c r="AW45" s="1104"/>
      <c r="AX45" s="1104"/>
      <c r="AY45" s="1104"/>
      <c r="AZ45" s="1104"/>
      <c r="BA45" s="1104"/>
      <c r="BB45" s="1104"/>
      <c r="BC45" s="1104"/>
      <c r="BD45" s="1104"/>
      <c r="BE45" s="1104"/>
      <c r="BF45" s="1104"/>
      <c r="BG45" s="1104"/>
      <c r="BH45" s="1104"/>
      <c r="BI45" s="1104"/>
      <c r="BJ45" s="1104"/>
      <c r="BK45" s="1104"/>
      <c r="BL45" s="1104"/>
      <c r="BM45" s="1104"/>
      <c r="BN45" s="1104"/>
      <c r="BO45" s="1104"/>
      <c r="BP45" s="1104"/>
      <c r="BQ45" s="1104"/>
      <c r="BR45" s="586"/>
      <c r="BS45" s="589"/>
      <c r="BT45" s="159"/>
    </row>
    <row r="46" spans="2:475" ht="19.899999999999999" customHeight="1" x14ac:dyDescent="0.25">
      <c r="B46" s="1118"/>
      <c r="C46" s="787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4"/>
      <c r="AN46" s="1104"/>
      <c r="AO46" s="1104"/>
      <c r="AP46" s="1104"/>
      <c r="AQ46" s="1104"/>
      <c r="AR46" s="1104"/>
      <c r="AS46" s="1104"/>
      <c r="AT46" s="1104"/>
      <c r="AU46" s="1104"/>
      <c r="AV46" s="1104"/>
      <c r="AW46" s="1104"/>
      <c r="AX46" s="1104"/>
      <c r="AY46" s="1104"/>
      <c r="AZ46" s="1104"/>
      <c r="BA46" s="1104"/>
      <c r="BB46" s="1104"/>
      <c r="BC46" s="1104"/>
      <c r="BD46" s="1104"/>
      <c r="BE46" s="1104"/>
      <c r="BF46" s="1104"/>
      <c r="BG46" s="1104"/>
      <c r="BH46" s="1104"/>
      <c r="BI46" s="1104"/>
      <c r="BJ46" s="1104"/>
      <c r="BK46" s="1104"/>
      <c r="BL46" s="1104"/>
      <c r="BM46" s="1104"/>
      <c r="BN46" s="1104"/>
      <c r="BO46" s="1104"/>
      <c r="BP46" s="1104"/>
      <c r="BQ46" s="1104"/>
      <c r="BR46" s="572"/>
      <c r="BS46" s="590"/>
      <c r="BT46" s="159"/>
    </row>
    <row r="47" spans="2:475" ht="19.899999999999999" customHeight="1" x14ac:dyDescent="0.25">
      <c r="B47" s="1118"/>
      <c r="C47" s="787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4"/>
      <c r="AN47" s="1104"/>
      <c r="AO47" s="1104"/>
      <c r="AP47" s="1104"/>
      <c r="AQ47" s="1104"/>
      <c r="AR47" s="1104"/>
      <c r="AS47" s="1104"/>
      <c r="AT47" s="1104"/>
      <c r="AU47" s="1104"/>
      <c r="AV47" s="1104"/>
      <c r="AW47" s="1104"/>
      <c r="AX47" s="1104"/>
      <c r="AY47" s="1104"/>
      <c r="AZ47" s="1104"/>
      <c r="BA47" s="1104"/>
      <c r="BB47" s="1104"/>
      <c r="BC47" s="1104"/>
      <c r="BD47" s="1104"/>
      <c r="BE47" s="1104"/>
      <c r="BF47" s="1104"/>
      <c r="BG47" s="1104"/>
      <c r="BH47" s="1104"/>
      <c r="BI47" s="1104"/>
      <c r="BJ47" s="1104"/>
      <c r="BK47" s="1104"/>
      <c r="BL47" s="1104"/>
      <c r="BM47" s="1104"/>
      <c r="BN47" s="1104"/>
      <c r="BO47" s="1104"/>
      <c r="BP47" s="1104"/>
      <c r="BQ47" s="1104"/>
      <c r="BR47" s="572"/>
      <c r="BS47" s="590"/>
      <c r="BT47" s="159"/>
    </row>
    <row r="48" spans="2:475" ht="19.899999999999999" customHeight="1" x14ac:dyDescent="0.25">
      <c r="B48" s="1118"/>
      <c r="C48" s="787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4"/>
      <c r="AN48" s="1104"/>
      <c r="AO48" s="1104"/>
      <c r="AP48" s="1104"/>
      <c r="AQ48" s="1104"/>
      <c r="AR48" s="1104"/>
      <c r="AS48" s="1104"/>
      <c r="AT48" s="1104"/>
      <c r="AU48" s="1104"/>
      <c r="AV48" s="1104"/>
      <c r="AW48" s="1104"/>
      <c r="AX48" s="1104"/>
      <c r="AY48" s="1104"/>
      <c r="AZ48" s="1104"/>
      <c r="BA48" s="1104"/>
      <c r="BB48" s="1104"/>
      <c r="BC48" s="1104"/>
      <c r="BD48" s="1104"/>
      <c r="BE48" s="1104"/>
      <c r="BF48" s="1104"/>
      <c r="BG48" s="1104"/>
      <c r="BH48" s="1104"/>
      <c r="BI48" s="1104"/>
      <c r="BJ48" s="1104"/>
      <c r="BK48" s="1104"/>
      <c r="BL48" s="1104"/>
      <c r="BM48" s="1104"/>
      <c r="BN48" s="1104"/>
      <c r="BO48" s="1104"/>
      <c r="BP48" s="1104"/>
      <c r="BQ48" s="1104"/>
      <c r="BR48" s="572"/>
      <c r="BS48" s="590"/>
      <c r="BT48" s="159"/>
    </row>
    <row r="49" spans="2:475" ht="19.899999999999999" customHeight="1" x14ac:dyDescent="0.25">
      <c r="B49" s="1118"/>
      <c r="C49" s="787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  <c r="AZ49" s="1104"/>
      <c r="BA49" s="1104"/>
      <c r="BB49" s="1104"/>
      <c r="BC49" s="1104"/>
      <c r="BD49" s="1104"/>
      <c r="BE49" s="1104"/>
      <c r="BF49" s="1104"/>
      <c r="BG49" s="1104"/>
      <c r="BH49" s="1104"/>
      <c r="BI49" s="1104"/>
      <c r="BJ49" s="1104"/>
      <c r="BK49" s="1104"/>
      <c r="BL49" s="1104"/>
      <c r="BM49" s="1104"/>
      <c r="BN49" s="1104"/>
      <c r="BO49" s="1104"/>
      <c r="BP49" s="1104"/>
      <c r="BQ49" s="1104"/>
      <c r="BR49" s="572"/>
      <c r="BS49" s="590"/>
      <c r="BT49" s="159"/>
    </row>
    <row r="50" spans="2:475" ht="19.899999999999999" customHeight="1" x14ac:dyDescent="0.25">
      <c r="B50" s="1118"/>
      <c r="C50" s="787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4"/>
      <c r="AN50" s="1104"/>
      <c r="AO50" s="1104"/>
      <c r="AP50" s="1104"/>
      <c r="AQ50" s="1104"/>
      <c r="AR50" s="1104"/>
      <c r="AS50" s="1104"/>
      <c r="AT50" s="1104"/>
      <c r="AU50" s="1104"/>
      <c r="AV50" s="1104"/>
      <c r="AW50" s="1104"/>
      <c r="AX50" s="1104"/>
      <c r="AY50" s="1104"/>
      <c r="AZ50" s="1104"/>
      <c r="BA50" s="1104"/>
      <c r="BB50" s="1104"/>
      <c r="BC50" s="1104"/>
      <c r="BD50" s="1104"/>
      <c r="BE50" s="1104"/>
      <c r="BF50" s="1104"/>
      <c r="BG50" s="1104"/>
      <c r="BH50" s="1104"/>
      <c r="BI50" s="1104"/>
      <c r="BJ50" s="1104"/>
      <c r="BK50" s="1104"/>
      <c r="BL50" s="1104"/>
      <c r="BM50" s="1104"/>
      <c r="BN50" s="1104"/>
      <c r="BO50" s="1104"/>
      <c r="BP50" s="1104"/>
      <c r="BQ50" s="1104"/>
      <c r="BR50" s="572"/>
      <c r="BS50" s="590"/>
      <c r="BT50" s="159"/>
    </row>
    <row r="51" spans="2:475" ht="19.899999999999999" customHeight="1" x14ac:dyDescent="0.25">
      <c r="B51" s="1118"/>
      <c r="C51" s="787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4"/>
      <c r="AN51" s="1104"/>
      <c r="AO51" s="1104"/>
      <c r="AP51" s="1104"/>
      <c r="AQ51" s="1104"/>
      <c r="AR51" s="1104"/>
      <c r="AS51" s="1104"/>
      <c r="AT51" s="1104"/>
      <c r="AU51" s="1104"/>
      <c r="AV51" s="1104"/>
      <c r="AW51" s="1104"/>
      <c r="AX51" s="1104"/>
      <c r="AY51" s="1104"/>
      <c r="AZ51" s="1104"/>
      <c r="BA51" s="1104"/>
      <c r="BB51" s="1104"/>
      <c r="BC51" s="1104"/>
      <c r="BD51" s="1104"/>
      <c r="BE51" s="1104"/>
      <c r="BF51" s="1104"/>
      <c r="BG51" s="1104"/>
      <c r="BH51" s="1104"/>
      <c r="BI51" s="1104"/>
      <c r="BJ51" s="1104"/>
      <c r="BK51" s="1104"/>
      <c r="BL51" s="1104"/>
      <c r="BM51" s="1104"/>
      <c r="BN51" s="1104"/>
      <c r="BO51" s="1104"/>
      <c r="BP51" s="1104"/>
      <c r="BQ51" s="1104"/>
      <c r="BR51" s="572"/>
      <c r="BS51" s="590"/>
      <c r="BT51" s="159"/>
    </row>
    <row r="52" spans="2:475" ht="19.899999999999999" customHeight="1" x14ac:dyDescent="0.25">
      <c r="B52" s="1118"/>
      <c r="C52" s="787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4"/>
      <c r="AN52" s="1104"/>
      <c r="AO52" s="1104"/>
      <c r="AP52" s="1104"/>
      <c r="AQ52" s="1104"/>
      <c r="AR52" s="1104"/>
      <c r="AS52" s="1104"/>
      <c r="AT52" s="1104"/>
      <c r="AU52" s="1104"/>
      <c r="AV52" s="1104"/>
      <c r="AW52" s="1104"/>
      <c r="AX52" s="1104"/>
      <c r="AY52" s="1104"/>
      <c r="AZ52" s="1104"/>
      <c r="BA52" s="1104"/>
      <c r="BB52" s="1104"/>
      <c r="BC52" s="1104"/>
      <c r="BD52" s="1104"/>
      <c r="BE52" s="1104"/>
      <c r="BF52" s="1104"/>
      <c r="BG52" s="1104"/>
      <c r="BH52" s="1104"/>
      <c r="BI52" s="1104"/>
      <c r="BJ52" s="1104"/>
      <c r="BK52" s="1104"/>
      <c r="BL52" s="1104"/>
      <c r="BM52" s="1104"/>
      <c r="BN52" s="1104"/>
      <c r="BO52" s="1104"/>
      <c r="BP52" s="1104"/>
      <c r="BQ52" s="1104"/>
      <c r="BR52" s="572"/>
      <c r="BS52" s="590"/>
      <c r="BT52" s="159"/>
    </row>
    <row r="53" spans="2:475" ht="19.899999999999999" customHeight="1" x14ac:dyDescent="0.25">
      <c r="B53" s="1118"/>
      <c r="C53" s="787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4"/>
      <c r="AN53" s="1104"/>
      <c r="AO53" s="1104"/>
      <c r="AP53" s="1104"/>
      <c r="AQ53" s="1104"/>
      <c r="AR53" s="1104"/>
      <c r="AS53" s="1104"/>
      <c r="AT53" s="1104"/>
      <c r="AU53" s="1104"/>
      <c r="AV53" s="1104"/>
      <c r="AW53" s="1104"/>
      <c r="AX53" s="1104"/>
      <c r="AY53" s="1104"/>
      <c r="AZ53" s="1104"/>
      <c r="BA53" s="1104"/>
      <c r="BB53" s="1104"/>
      <c r="BC53" s="1104"/>
      <c r="BD53" s="1104"/>
      <c r="BE53" s="1104"/>
      <c r="BF53" s="1104"/>
      <c r="BG53" s="1104"/>
      <c r="BH53" s="1104"/>
      <c r="BI53" s="1104"/>
      <c r="BJ53" s="1104"/>
      <c r="BK53" s="1104"/>
      <c r="BL53" s="1104"/>
      <c r="BM53" s="1104"/>
      <c r="BN53" s="1104"/>
      <c r="BO53" s="1104"/>
      <c r="BP53" s="1104"/>
      <c r="BQ53" s="1104"/>
      <c r="BR53" s="572"/>
      <c r="BS53" s="590"/>
      <c r="BT53" s="159"/>
    </row>
    <row r="54" spans="2:475" ht="19.899999999999999" customHeight="1" x14ac:dyDescent="0.25">
      <c r="B54" s="1118"/>
      <c r="C54" s="787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4"/>
      <c r="AN54" s="1104"/>
      <c r="AO54" s="1104"/>
      <c r="AP54" s="1104"/>
      <c r="AQ54" s="1104"/>
      <c r="AR54" s="1104"/>
      <c r="AS54" s="1104"/>
      <c r="AT54" s="1104"/>
      <c r="AU54" s="1104"/>
      <c r="AV54" s="1104"/>
      <c r="AW54" s="1104"/>
      <c r="AX54" s="1104"/>
      <c r="AY54" s="1104"/>
      <c r="AZ54" s="1104"/>
      <c r="BA54" s="1104"/>
      <c r="BB54" s="1104"/>
      <c r="BC54" s="1104"/>
      <c r="BD54" s="1104"/>
      <c r="BE54" s="1104"/>
      <c r="BF54" s="1104"/>
      <c r="BG54" s="1104"/>
      <c r="BH54" s="1104"/>
      <c r="BI54" s="1104"/>
      <c r="BJ54" s="1104"/>
      <c r="BK54" s="1104"/>
      <c r="BL54" s="1104"/>
      <c r="BM54" s="1104"/>
      <c r="BN54" s="1104"/>
      <c r="BO54" s="1104"/>
      <c r="BP54" s="1104"/>
      <c r="BQ54" s="1104"/>
      <c r="BR54" s="572"/>
      <c r="BS54" s="590"/>
      <c r="BT54" s="159"/>
    </row>
    <row r="55" spans="2:475" ht="19.899999999999999" customHeight="1" x14ac:dyDescent="0.25">
      <c r="B55" s="1118"/>
      <c r="C55" s="78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4"/>
      <c r="AN55" s="1104"/>
      <c r="AO55" s="1104"/>
      <c r="AP55" s="1104"/>
      <c r="AQ55" s="1104"/>
      <c r="AR55" s="1104"/>
      <c r="AS55" s="1104"/>
      <c r="AT55" s="1104"/>
      <c r="AU55" s="1104"/>
      <c r="AV55" s="1104"/>
      <c r="AW55" s="1104"/>
      <c r="AX55" s="1104"/>
      <c r="AY55" s="1104"/>
      <c r="AZ55" s="1104"/>
      <c r="BA55" s="1104"/>
      <c r="BB55" s="1104"/>
      <c r="BC55" s="1104"/>
      <c r="BD55" s="1104"/>
      <c r="BE55" s="1104"/>
      <c r="BF55" s="1104"/>
      <c r="BG55" s="1104"/>
      <c r="BH55" s="1104"/>
      <c r="BI55" s="1104"/>
      <c r="BJ55" s="1104"/>
      <c r="BK55" s="1104"/>
      <c r="BL55" s="1104"/>
      <c r="BM55" s="1104"/>
      <c r="BN55" s="1104"/>
      <c r="BO55" s="1104"/>
      <c r="BP55" s="1104"/>
      <c r="BQ55" s="1104"/>
      <c r="BR55" s="572"/>
      <c r="BS55" s="590"/>
      <c r="BT55" s="159"/>
    </row>
    <row r="56" spans="2:475" ht="19.899999999999999" customHeight="1" x14ac:dyDescent="0.25">
      <c r="B56" s="1118"/>
      <c r="C56" s="78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4"/>
      <c r="AN56" s="1104"/>
      <c r="AO56" s="1104"/>
      <c r="AP56" s="1104"/>
      <c r="AQ56" s="1104"/>
      <c r="AR56" s="1104"/>
      <c r="AS56" s="1104"/>
      <c r="AT56" s="1104"/>
      <c r="AU56" s="1104"/>
      <c r="AV56" s="1104"/>
      <c r="AW56" s="1104"/>
      <c r="AX56" s="1104"/>
      <c r="AY56" s="1104"/>
      <c r="AZ56" s="1104"/>
      <c r="BA56" s="1104"/>
      <c r="BB56" s="1104"/>
      <c r="BC56" s="1104"/>
      <c r="BD56" s="1104"/>
      <c r="BE56" s="1104"/>
      <c r="BF56" s="1104"/>
      <c r="BG56" s="1104"/>
      <c r="BH56" s="1104"/>
      <c r="BI56" s="1104"/>
      <c r="BJ56" s="1104"/>
      <c r="BK56" s="1104"/>
      <c r="BL56" s="1104"/>
      <c r="BM56" s="1104"/>
      <c r="BN56" s="1104"/>
      <c r="BO56" s="1104"/>
      <c r="BP56" s="1104"/>
      <c r="BQ56" s="1104"/>
      <c r="BR56" s="572"/>
      <c r="BS56" s="590"/>
      <c r="BT56" s="159"/>
    </row>
    <row r="57" spans="2:475" ht="19.899999999999999" customHeight="1" x14ac:dyDescent="0.25">
      <c r="B57" s="1118"/>
      <c r="C57" s="78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4"/>
      <c r="AN57" s="1104"/>
      <c r="AO57" s="1104"/>
      <c r="AP57" s="1104"/>
      <c r="AQ57" s="1104"/>
      <c r="AR57" s="1104"/>
      <c r="AS57" s="1104"/>
      <c r="AT57" s="1104"/>
      <c r="AU57" s="1104"/>
      <c r="AV57" s="1104"/>
      <c r="AW57" s="1104"/>
      <c r="AX57" s="1104"/>
      <c r="AY57" s="1104"/>
      <c r="AZ57" s="1104"/>
      <c r="BA57" s="1104"/>
      <c r="BB57" s="1104"/>
      <c r="BC57" s="1104"/>
      <c r="BD57" s="1104"/>
      <c r="BE57" s="1104"/>
      <c r="BF57" s="1104"/>
      <c r="BG57" s="1104"/>
      <c r="BH57" s="1104"/>
      <c r="BI57" s="1104"/>
      <c r="BJ57" s="1104"/>
      <c r="BK57" s="1104"/>
      <c r="BL57" s="1104"/>
      <c r="BM57" s="1104"/>
      <c r="BN57" s="1104"/>
      <c r="BO57" s="1104"/>
      <c r="BP57" s="1104"/>
      <c r="BQ57" s="1104"/>
      <c r="BR57" s="572"/>
      <c r="BS57" s="590"/>
      <c r="BT57" s="159"/>
    </row>
    <row r="58" spans="2:475" ht="19.899999999999999" customHeight="1" x14ac:dyDescent="0.25">
      <c r="B58" s="1118"/>
      <c r="C58" s="78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4"/>
      <c r="AN58" s="1104"/>
      <c r="AO58" s="1104"/>
      <c r="AP58" s="1104"/>
      <c r="AQ58" s="1104"/>
      <c r="AR58" s="1104"/>
      <c r="AS58" s="1104"/>
      <c r="AT58" s="1104"/>
      <c r="AU58" s="1104"/>
      <c r="AV58" s="1104"/>
      <c r="AW58" s="1104"/>
      <c r="AX58" s="1104"/>
      <c r="AY58" s="1104"/>
      <c r="AZ58" s="1104"/>
      <c r="BA58" s="1104"/>
      <c r="BB58" s="1104"/>
      <c r="BC58" s="1104"/>
      <c r="BD58" s="1104"/>
      <c r="BE58" s="1104"/>
      <c r="BF58" s="1104"/>
      <c r="BG58" s="1104"/>
      <c r="BH58" s="1104"/>
      <c r="BI58" s="1104"/>
      <c r="BJ58" s="1104"/>
      <c r="BK58" s="1104"/>
      <c r="BL58" s="1104"/>
      <c r="BM58" s="1104"/>
      <c r="BN58" s="1104"/>
      <c r="BO58" s="1104"/>
      <c r="BP58" s="1104"/>
      <c r="BQ58" s="1104"/>
      <c r="BR58" s="572"/>
      <c r="BS58" s="590"/>
      <c r="BT58" s="159"/>
    </row>
    <row r="59" spans="2:475" ht="19.899999999999999" customHeight="1" x14ac:dyDescent="0.25">
      <c r="B59" s="1118"/>
      <c r="C59" s="787">
        <f t="shared" si="1"/>
        <v>55</v>
      </c>
      <c r="Q59" s="1016" t="s">
        <v>312</v>
      </c>
      <c r="R59" s="1017"/>
      <c r="S59" s="1017"/>
      <c r="T59" s="1017"/>
      <c r="U59" s="1017"/>
      <c r="V59" s="1017"/>
      <c r="W59" s="1017"/>
      <c r="X59" s="1017"/>
      <c r="Y59" s="1017"/>
      <c r="Z59" s="1017"/>
      <c r="AA59" s="1017"/>
      <c r="AB59" s="1017"/>
      <c r="AC59" s="1017"/>
      <c r="AD59" s="1017"/>
      <c r="AE59" s="1017"/>
      <c r="AF59" s="1017"/>
      <c r="AG59" s="1017"/>
      <c r="AH59" s="1017"/>
      <c r="AI59" s="1018"/>
      <c r="BS59" s="575"/>
      <c r="BT59" s="159"/>
    </row>
    <row r="60" spans="2:475" ht="19.899999999999999" customHeight="1" x14ac:dyDescent="0.25">
      <c r="B60" s="1118"/>
      <c r="C60" s="787">
        <f t="shared" si="1"/>
        <v>56</v>
      </c>
      <c r="Q60" s="978" t="s">
        <v>280</v>
      </c>
      <c r="R60" s="979"/>
      <c r="S60" s="979"/>
      <c r="T60" s="979"/>
      <c r="U60" s="979"/>
      <c r="V60" s="979"/>
      <c r="W60" s="979"/>
      <c r="X60" s="979"/>
      <c r="Y60" s="979"/>
      <c r="Z60" s="979"/>
      <c r="AA60" s="979"/>
      <c r="AB60" s="979"/>
      <c r="AC60" s="979"/>
      <c r="AD60" s="979"/>
      <c r="AE60" s="979"/>
      <c r="AF60" s="979"/>
      <c r="AG60" s="979"/>
      <c r="AH60" s="979"/>
      <c r="AI60" s="979"/>
      <c r="BT60" s="159"/>
    </row>
    <row r="61" spans="2:475" ht="19.899999999999999" customHeight="1" x14ac:dyDescent="0.25">
      <c r="B61" s="1118"/>
      <c r="C61" s="787">
        <f t="shared" si="1"/>
        <v>57</v>
      </c>
      <c r="Q61" s="978"/>
      <c r="R61" s="979"/>
      <c r="S61" s="979"/>
      <c r="T61" s="979"/>
      <c r="U61" s="979"/>
      <c r="V61" s="979"/>
      <c r="W61" s="979"/>
      <c r="X61" s="979"/>
      <c r="Y61" s="979"/>
      <c r="Z61" s="979"/>
      <c r="AA61" s="979"/>
      <c r="AB61" s="979"/>
      <c r="AC61" s="979"/>
      <c r="AD61" s="979"/>
      <c r="AE61" s="979"/>
      <c r="AF61" s="979"/>
      <c r="AG61" s="979"/>
      <c r="AH61" s="979"/>
      <c r="AI61" s="979"/>
      <c r="BT61" s="159"/>
    </row>
    <row r="62" spans="2:475" ht="19.899999999999999" customHeight="1" x14ac:dyDescent="0.25">
      <c r="B62" s="1118"/>
      <c r="C62" s="787">
        <f t="shared" si="1"/>
        <v>58</v>
      </c>
      <c r="Q62" s="978"/>
      <c r="R62" s="979"/>
      <c r="S62" s="979"/>
      <c r="T62" s="979"/>
      <c r="U62" s="979"/>
      <c r="V62" s="979"/>
      <c r="W62" s="979"/>
      <c r="X62" s="979"/>
      <c r="Y62" s="979"/>
      <c r="Z62" s="979"/>
      <c r="AA62" s="979"/>
      <c r="AB62" s="979"/>
      <c r="AC62" s="979"/>
      <c r="AD62" s="979"/>
      <c r="AE62" s="979"/>
      <c r="AF62" s="979"/>
      <c r="AG62" s="979"/>
      <c r="AH62" s="979"/>
      <c r="AI62" s="979"/>
      <c r="BT62" s="159"/>
    </row>
    <row r="63" spans="2:475" ht="19.899999999999999" customHeight="1" x14ac:dyDescent="0.25">
      <c r="B63" s="1118"/>
      <c r="C63" s="787">
        <f t="shared" si="1"/>
        <v>59</v>
      </c>
      <c r="Q63" s="978"/>
      <c r="R63" s="979"/>
      <c r="S63" s="979"/>
      <c r="T63" s="979"/>
      <c r="U63" s="979"/>
      <c r="V63" s="979"/>
      <c r="W63" s="979"/>
      <c r="X63" s="979"/>
      <c r="Y63" s="979"/>
      <c r="Z63" s="979"/>
      <c r="AA63" s="979"/>
      <c r="AB63" s="979"/>
      <c r="AC63" s="979"/>
      <c r="AD63" s="979"/>
      <c r="AE63" s="979"/>
      <c r="AF63" s="979"/>
      <c r="AG63" s="979"/>
      <c r="AH63" s="979"/>
      <c r="AI63" s="979"/>
      <c r="BT63" s="159"/>
    </row>
    <row r="64" spans="2:475" s="564" customFormat="1" ht="19.899999999999999" customHeight="1" x14ac:dyDescent="0.25">
      <c r="B64" s="1119"/>
      <c r="C64" s="788">
        <f t="shared" si="1"/>
        <v>60</v>
      </c>
      <c r="G64" s="567"/>
      <c r="L64" s="565"/>
      <c r="P64" s="565"/>
      <c r="Q64" s="980"/>
      <c r="R64" s="981"/>
      <c r="S64" s="981"/>
      <c r="T64" s="981"/>
      <c r="U64" s="981"/>
      <c r="V64" s="981"/>
      <c r="W64" s="981"/>
      <c r="X64" s="981"/>
      <c r="Y64" s="981"/>
      <c r="Z64" s="981"/>
      <c r="AA64" s="981"/>
      <c r="AB64" s="981"/>
      <c r="AC64" s="981"/>
      <c r="AD64" s="981"/>
      <c r="AE64" s="981"/>
      <c r="AF64" s="981"/>
      <c r="AG64" s="981"/>
      <c r="AH64" s="981"/>
      <c r="AI64" s="98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111" t="s">
        <v>281</v>
      </c>
      <c r="C65" s="787">
        <f t="shared" si="1"/>
        <v>61</v>
      </c>
      <c r="P65" s="1002" t="s">
        <v>282</v>
      </c>
      <c r="Q65" s="1003"/>
      <c r="R65" s="1003"/>
      <c r="S65" s="1003"/>
      <c r="T65" s="1003"/>
      <c r="U65" s="1003"/>
      <c r="V65" s="1003"/>
      <c r="W65" s="1003"/>
      <c r="X65" s="1003"/>
      <c r="Y65" s="1003"/>
      <c r="Z65" s="1003"/>
      <c r="AA65" s="1003"/>
      <c r="AB65" s="1004"/>
      <c r="BT65" s="159"/>
    </row>
    <row r="66" spans="2:72" ht="19.899999999999999" customHeight="1" x14ac:dyDescent="0.25">
      <c r="B66" s="1112"/>
      <c r="C66" s="787">
        <f t="shared" si="1"/>
        <v>62</v>
      </c>
      <c r="P66" s="1005"/>
      <c r="Q66" s="1006"/>
      <c r="R66" s="1006"/>
      <c r="S66" s="1006"/>
      <c r="T66" s="1006"/>
      <c r="U66" s="1006"/>
      <c r="V66" s="1006"/>
      <c r="W66" s="1006"/>
      <c r="X66" s="1006"/>
      <c r="Y66" s="1006"/>
      <c r="Z66" s="1006"/>
      <c r="AA66" s="1006"/>
      <c r="AB66" s="1007"/>
      <c r="BT66" s="159"/>
    </row>
    <row r="67" spans="2:72" ht="19.899999999999999" customHeight="1" x14ac:dyDescent="0.25">
      <c r="B67" s="1112"/>
      <c r="C67" s="787">
        <f t="shared" si="1"/>
        <v>63</v>
      </c>
      <c r="P67" s="1005"/>
      <c r="Q67" s="1006"/>
      <c r="R67" s="1006"/>
      <c r="S67" s="1006"/>
      <c r="T67" s="1006"/>
      <c r="U67" s="1006"/>
      <c r="V67" s="1006"/>
      <c r="W67" s="1006"/>
      <c r="X67" s="1006"/>
      <c r="Y67" s="1006"/>
      <c r="Z67" s="1006"/>
      <c r="AA67" s="1006"/>
      <c r="AB67" s="1007"/>
      <c r="BT67" s="159"/>
    </row>
    <row r="68" spans="2:72" ht="19.899999999999999" customHeight="1" x14ac:dyDescent="0.25">
      <c r="B68" s="1112"/>
      <c r="C68" s="787">
        <f t="shared" si="1"/>
        <v>64</v>
      </c>
      <c r="P68" s="1008"/>
      <c r="Q68" s="1009"/>
      <c r="R68" s="1009"/>
      <c r="S68" s="1009"/>
      <c r="T68" s="1009"/>
      <c r="U68" s="1009"/>
      <c r="V68" s="1006"/>
      <c r="W68" s="1006"/>
      <c r="X68" s="1006"/>
      <c r="Y68" s="1006"/>
      <c r="Z68" s="1006"/>
      <c r="AA68" s="1006"/>
      <c r="AB68" s="1007"/>
      <c r="BT68" s="159"/>
    </row>
    <row r="69" spans="2:72" ht="19.899999999999999" customHeight="1" x14ac:dyDescent="0.25">
      <c r="B69" s="1112"/>
      <c r="C69" s="787">
        <f t="shared" si="1"/>
        <v>65</v>
      </c>
      <c r="V69" s="1010" t="s">
        <v>283</v>
      </c>
      <c r="W69" s="1011"/>
      <c r="X69" s="1011"/>
      <c r="Y69" s="1011"/>
      <c r="Z69" s="1011"/>
      <c r="AA69" s="1011"/>
      <c r="AB69" s="1011"/>
      <c r="AC69" s="1011"/>
      <c r="AD69" s="1011"/>
      <c r="AE69" s="1011"/>
      <c r="AF69" s="1012"/>
      <c r="AG69" s="572"/>
      <c r="BT69" s="159"/>
    </row>
    <row r="70" spans="2:72" ht="19.899999999999999" customHeight="1" x14ac:dyDescent="0.25">
      <c r="B70" s="1112"/>
      <c r="C70" s="787">
        <f t="shared" si="1"/>
        <v>66</v>
      </c>
      <c r="S70" s="994" t="s">
        <v>284</v>
      </c>
      <c r="T70" s="990"/>
      <c r="U70" s="990"/>
      <c r="V70" s="990"/>
      <c r="W70" s="990"/>
      <c r="X70" s="990"/>
      <c r="Y70" s="990"/>
      <c r="Z70" s="990"/>
      <c r="AA70" s="990"/>
      <c r="AB70" s="990"/>
      <c r="AC70" s="990"/>
      <c r="AD70" s="990"/>
      <c r="AE70" s="990"/>
      <c r="AF70" s="990"/>
      <c r="AG70" s="991"/>
      <c r="BT70" s="159"/>
    </row>
    <row r="71" spans="2:72" ht="19.899999999999999" customHeight="1" x14ac:dyDescent="0.25">
      <c r="B71" s="1112"/>
      <c r="C71" s="787">
        <f t="shared" si="1"/>
        <v>67</v>
      </c>
      <c r="S71" s="996"/>
      <c r="T71" s="997"/>
      <c r="U71" s="997"/>
      <c r="V71" s="997"/>
      <c r="W71" s="997"/>
      <c r="X71" s="997"/>
      <c r="Y71" s="997"/>
      <c r="Z71" s="997"/>
      <c r="AA71" s="997"/>
      <c r="AB71" s="997"/>
      <c r="AC71" s="997"/>
      <c r="AD71" s="997"/>
      <c r="AE71" s="997"/>
      <c r="AF71" s="997"/>
      <c r="AG71" s="998"/>
      <c r="AI71" s="564"/>
      <c r="AM71" s="564"/>
      <c r="AQ71" s="564"/>
      <c r="AU71" s="564"/>
      <c r="BT71" s="159"/>
    </row>
    <row r="72" spans="2:72" ht="19.899999999999999" customHeight="1" x14ac:dyDescent="0.25">
      <c r="B72" s="1112"/>
      <c r="C72" s="787">
        <f t="shared" si="1"/>
        <v>68</v>
      </c>
      <c r="AH72" s="1101" t="s">
        <v>285</v>
      </c>
      <c r="AI72" s="991"/>
      <c r="AJ72" s="991"/>
      <c r="AK72" s="991"/>
      <c r="AL72" s="991"/>
      <c r="AM72" s="991"/>
      <c r="AN72" s="991"/>
      <c r="AO72" s="991"/>
      <c r="AP72" s="991"/>
      <c r="AQ72" s="991"/>
      <c r="AR72" s="991"/>
      <c r="AS72" s="991"/>
      <c r="AT72" s="991"/>
      <c r="AU72" s="991"/>
      <c r="BT72" s="159"/>
    </row>
    <row r="73" spans="2:72" ht="19.899999999999999" customHeight="1" x14ac:dyDescent="0.25">
      <c r="B73" s="1112"/>
      <c r="C73" s="787">
        <f t="shared" si="1"/>
        <v>69</v>
      </c>
      <c r="AH73" s="1102"/>
      <c r="AI73" s="993"/>
      <c r="AJ73" s="993"/>
      <c r="AK73" s="993"/>
      <c r="AL73" s="993"/>
      <c r="AM73" s="993"/>
      <c r="AN73" s="993"/>
      <c r="AO73" s="993"/>
      <c r="AP73" s="993"/>
      <c r="AQ73" s="993"/>
      <c r="AR73" s="993"/>
      <c r="AS73" s="993"/>
      <c r="AT73" s="993"/>
      <c r="AU73" s="993"/>
      <c r="BT73" s="159"/>
    </row>
    <row r="74" spans="2:72" ht="19.899999999999999" customHeight="1" x14ac:dyDescent="0.25">
      <c r="B74" s="1112"/>
      <c r="C74" s="787">
        <f t="shared" si="1"/>
        <v>70</v>
      </c>
      <c r="AH74" s="1102"/>
      <c r="AI74" s="993"/>
      <c r="AJ74" s="993"/>
      <c r="AK74" s="993"/>
      <c r="AL74" s="993"/>
      <c r="AM74" s="993"/>
      <c r="AN74" s="993"/>
      <c r="AO74" s="993"/>
      <c r="AP74" s="993"/>
      <c r="AQ74" s="993"/>
      <c r="AR74" s="993"/>
      <c r="AS74" s="993"/>
      <c r="AT74" s="993"/>
      <c r="AU74" s="993"/>
      <c r="BT74" s="159"/>
    </row>
    <row r="75" spans="2:72" ht="19.899999999999999" customHeight="1" x14ac:dyDescent="0.25">
      <c r="B75" s="1112"/>
      <c r="C75" s="787">
        <f t="shared" si="1"/>
        <v>71</v>
      </c>
      <c r="AH75" s="1103"/>
      <c r="AI75" s="998"/>
      <c r="AJ75" s="998"/>
      <c r="AK75" s="998"/>
      <c r="AL75" s="998"/>
      <c r="AM75" s="998"/>
      <c r="AN75" s="993"/>
      <c r="AO75" s="993"/>
      <c r="AP75" s="993"/>
      <c r="AQ75" s="993"/>
      <c r="AR75" s="993"/>
      <c r="AS75" s="993"/>
      <c r="AT75" s="993"/>
      <c r="AU75" s="993"/>
      <c r="BT75" s="159"/>
    </row>
    <row r="76" spans="2:72" ht="19.899999999999999" customHeight="1" x14ac:dyDescent="0.25">
      <c r="B76" s="1112"/>
      <c r="C76" s="787">
        <f t="shared" si="1"/>
        <v>72</v>
      </c>
      <c r="AN76" s="994" t="s">
        <v>286</v>
      </c>
      <c r="AO76" s="990"/>
      <c r="AP76" s="990"/>
      <c r="AQ76" s="990"/>
      <c r="AR76" s="990"/>
      <c r="AS76" s="990"/>
      <c r="AT76" s="990"/>
      <c r="AU76" s="990"/>
      <c r="AV76" s="990"/>
      <c r="AW76" s="990"/>
      <c r="AX76" s="990"/>
      <c r="AY76" s="990"/>
      <c r="AZ76" s="990"/>
      <c r="BA76" s="990"/>
      <c r="BB76" s="990"/>
      <c r="BC76" s="990"/>
      <c r="BD76" s="990"/>
      <c r="BE76" s="990"/>
      <c r="BF76" s="990"/>
      <c r="BG76" s="990"/>
      <c r="BH76" s="990"/>
      <c r="BI76" s="990"/>
      <c r="BJ76" s="990"/>
      <c r="BK76" s="990"/>
      <c r="BL76" s="990"/>
      <c r="BM76" s="990"/>
      <c r="BN76" s="991"/>
      <c r="BT76" s="159"/>
    </row>
    <row r="77" spans="2:72" ht="19.899999999999999" customHeight="1" x14ac:dyDescent="0.25">
      <c r="B77" s="1112"/>
      <c r="C77" s="787">
        <f t="shared" si="1"/>
        <v>73</v>
      </c>
      <c r="AN77" s="995"/>
      <c r="AO77" s="992"/>
      <c r="AP77" s="992"/>
      <c r="AQ77" s="992"/>
      <c r="AR77" s="992"/>
      <c r="AS77" s="992"/>
      <c r="AT77" s="992"/>
      <c r="AU77" s="992"/>
      <c r="AV77" s="992"/>
      <c r="AW77" s="992"/>
      <c r="AX77" s="992"/>
      <c r="AY77" s="992"/>
      <c r="AZ77" s="992"/>
      <c r="BA77" s="992"/>
      <c r="BB77" s="992"/>
      <c r="BC77" s="992"/>
      <c r="BD77" s="992"/>
      <c r="BE77" s="992"/>
      <c r="BF77" s="992"/>
      <c r="BG77" s="992"/>
      <c r="BH77" s="992"/>
      <c r="BI77" s="992"/>
      <c r="BJ77" s="992"/>
      <c r="BK77" s="992"/>
      <c r="BL77" s="992"/>
      <c r="BM77" s="992"/>
      <c r="BN77" s="993"/>
      <c r="BT77" s="159"/>
    </row>
    <row r="78" spans="2:72" ht="19.899999999999999" customHeight="1" x14ac:dyDescent="0.25">
      <c r="B78" s="1112"/>
      <c r="C78" s="787">
        <f t="shared" si="1"/>
        <v>74</v>
      </c>
      <c r="AN78" s="995"/>
      <c r="AO78" s="992"/>
      <c r="AP78" s="992"/>
      <c r="AQ78" s="992"/>
      <c r="AR78" s="992"/>
      <c r="AS78" s="992"/>
      <c r="AT78" s="992"/>
      <c r="AU78" s="992"/>
      <c r="AV78" s="992"/>
      <c r="AW78" s="992"/>
      <c r="AX78" s="992"/>
      <c r="AY78" s="992"/>
      <c r="AZ78" s="992"/>
      <c r="BA78" s="992"/>
      <c r="BB78" s="992"/>
      <c r="BC78" s="992"/>
      <c r="BD78" s="992"/>
      <c r="BE78" s="992"/>
      <c r="BF78" s="992"/>
      <c r="BG78" s="992"/>
      <c r="BH78" s="992"/>
      <c r="BI78" s="992"/>
      <c r="BJ78" s="992"/>
      <c r="BK78" s="992"/>
      <c r="BL78" s="992"/>
      <c r="BM78" s="992"/>
      <c r="BN78" s="993"/>
      <c r="BT78" s="159"/>
    </row>
    <row r="79" spans="2:72" ht="19.899999999999999" customHeight="1" x14ac:dyDescent="0.25">
      <c r="B79" s="1112"/>
      <c r="C79" s="787">
        <f t="shared" si="1"/>
        <v>75</v>
      </c>
      <c r="AN79" s="996"/>
      <c r="AO79" s="997"/>
      <c r="AP79" s="997"/>
      <c r="AQ79" s="997"/>
      <c r="AR79" s="997"/>
      <c r="AS79" s="997"/>
      <c r="AT79" s="997"/>
      <c r="AU79" s="997"/>
      <c r="AV79" s="997"/>
      <c r="AW79" s="997"/>
      <c r="AX79" s="997"/>
      <c r="AY79" s="997"/>
      <c r="AZ79" s="997"/>
      <c r="BA79" s="997"/>
      <c r="BB79" s="997"/>
      <c r="BC79" s="997"/>
      <c r="BD79" s="997"/>
      <c r="BE79" s="997"/>
      <c r="BF79" s="997"/>
      <c r="BG79" s="997"/>
      <c r="BH79" s="997"/>
      <c r="BI79" s="997"/>
      <c r="BJ79" s="997"/>
      <c r="BK79" s="997"/>
      <c r="BL79" s="997"/>
      <c r="BM79" s="997"/>
      <c r="BN79" s="998"/>
      <c r="BT79" s="159"/>
    </row>
    <row r="80" spans="2:72" ht="19.899999999999999" customHeight="1" x14ac:dyDescent="0.25">
      <c r="B80" s="1112"/>
      <c r="C80" s="787">
        <f t="shared" si="1"/>
        <v>76</v>
      </c>
      <c r="AP80" s="994" t="s">
        <v>287</v>
      </c>
      <c r="AQ80" s="990"/>
      <c r="AR80" s="990"/>
      <c r="AS80" s="990"/>
      <c r="AT80" s="990"/>
      <c r="AU80" s="990"/>
      <c r="AV80" s="990"/>
      <c r="AW80" s="990"/>
      <c r="AX80" s="990"/>
      <c r="AY80" s="990"/>
      <c r="AZ80" s="990"/>
      <c r="BA80" s="990"/>
      <c r="BB80" s="990"/>
      <c r="BC80" s="990"/>
      <c r="BD80" s="990"/>
      <c r="BE80" s="991"/>
      <c r="BT80" s="159"/>
    </row>
    <row r="81" spans="2:475" ht="19.899999999999999" customHeight="1" x14ac:dyDescent="0.25">
      <c r="B81" s="1112"/>
      <c r="C81" s="787">
        <f t="shared" si="1"/>
        <v>77</v>
      </c>
      <c r="AP81" s="995"/>
      <c r="AQ81" s="992"/>
      <c r="AR81" s="992"/>
      <c r="AS81" s="992"/>
      <c r="AT81" s="992"/>
      <c r="AU81" s="992"/>
      <c r="AV81" s="992"/>
      <c r="AW81" s="992"/>
      <c r="AX81" s="992"/>
      <c r="AY81" s="992"/>
      <c r="AZ81" s="992"/>
      <c r="BA81" s="992"/>
      <c r="BB81" s="992"/>
      <c r="BC81" s="992"/>
      <c r="BD81" s="992"/>
      <c r="BE81" s="993"/>
      <c r="BT81" s="159"/>
    </row>
    <row r="82" spans="2:475" ht="19.899999999999999" customHeight="1" x14ac:dyDescent="0.25">
      <c r="B82" s="1112"/>
      <c r="C82" s="787">
        <f t="shared" si="1"/>
        <v>78</v>
      </c>
      <c r="AP82" s="995"/>
      <c r="AQ82" s="992"/>
      <c r="AR82" s="992"/>
      <c r="AS82" s="992"/>
      <c r="AT82" s="992"/>
      <c r="AU82" s="992"/>
      <c r="AV82" s="992"/>
      <c r="AW82" s="992"/>
      <c r="AX82" s="992"/>
      <c r="AY82" s="992"/>
      <c r="AZ82" s="992"/>
      <c r="BA82" s="992"/>
      <c r="BB82" s="992"/>
      <c r="BC82" s="992"/>
      <c r="BD82" s="992"/>
      <c r="BE82" s="993"/>
      <c r="BT82" s="159"/>
    </row>
    <row r="83" spans="2:475" ht="19.899999999999999" customHeight="1" x14ac:dyDescent="0.25">
      <c r="B83" s="1112"/>
      <c r="C83" s="787">
        <f t="shared" si="1"/>
        <v>79</v>
      </c>
      <c r="AP83" s="996"/>
      <c r="AQ83" s="997"/>
      <c r="AR83" s="997"/>
      <c r="AS83" s="997"/>
      <c r="AT83" s="997"/>
      <c r="AU83" s="997"/>
      <c r="AV83" s="997"/>
      <c r="AW83" s="997"/>
      <c r="AX83" s="997"/>
      <c r="AY83" s="997"/>
      <c r="AZ83" s="997"/>
      <c r="BA83" s="997"/>
      <c r="BB83" s="997"/>
      <c r="BC83" s="997"/>
      <c r="BD83" s="997"/>
      <c r="BE83" s="998"/>
      <c r="BT83" s="159"/>
    </row>
    <row r="84" spans="2:475" s="564" customFormat="1" ht="19.899999999999999" customHeight="1" x14ac:dyDescent="0.25">
      <c r="B84" s="1113"/>
      <c r="C84" s="788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123" t="s">
        <v>288</v>
      </c>
      <c r="C85" s="787">
        <f t="shared" si="1"/>
        <v>81</v>
      </c>
      <c r="AT85" s="990" t="s">
        <v>289</v>
      </c>
      <c r="AU85" s="990"/>
      <c r="AV85" s="990"/>
      <c r="AW85" s="990"/>
      <c r="AX85" s="990"/>
      <c r="AY85" s="990"/>
      <c r="AZ85" s="990"/>
      <c r="BA85" s="990"/>
      <c r="BB85" s="990"/>
      <c r="BC85" s="990"/>
      <c r="BD85" s="990"/>
      <c r="BE85" s="990"/>
      <c r="BF85" s="990"/>
      <c r="BG85" s="990"/>
      <c r="BH85" s="990"/>
      <c r="BI85" s="990"/>
      <c r="BJ85" s="990"/>
      <c r="BK85" s="990"/>
      <c r="BL85" s="991"/>
      <c r="BT85" s="159"/>
    </row>
    <row r="86" spans="2:475" ht="19.899999999999999" customHeight="1" x14ac:dyDescent="0.25">
      <c r="B86" s="1124"/>
      <c r="C86" s="787">
        <f t="shared" si="1"/>
        <v>82</v>
      </c>
      <c r="AT86" s="992"/>
      <c r="AU86" s="992"/>
      <c r="AV86" s="992"/>
      <c r="AW86" s="992"/>
      <c r="AX86" s="992"/>
      <c r="AY86" s="992"/>
      <c r="AZ86" s="992"/>
      <c r="BA86" s="992"/>
      <c r="BB86" s="992"/>
      <c r="BC86" s="992"/>
      <c r="BD86" s="992"/>
      <c r="BE86" s="992"/>
      <c r="BF86" s="992"/>
      <c r="BG86" s="992"/>
      <c r="BH86" s="992"/>
      <c r="BI86" s="992"/>
      <c r="BJ86" s="992"/>
      <c r="BK86" s="992"/>
      <c r="BL86" s="993"/>
      <c r="BT86" s="159"/>
    </row>
    <row r="87" spans="2:475" ht="19.899999999999999" customHeight="1" x14ac:dyDescent="0.25">
      <c r="B87" s="1124"/>
      <c r="C87" s="787">
        <f t="shared" si="1"/>
        <v>83</v>
      </c>
      <c r="AT87" s="992"/>
      <c r="AU87" s="992"/>
      <c r="AV87" s="992"/>
      <c r="AW87" s="992"/>
      <c r="AX87" s="992"/>
      <c r="AY87" s="992"/>
      <c r="AZ87" s="992"/>
      <c r="BA87" s="992"/>
      <c r="BB87" s="992"/>
      <c r="BC87" s="992"/>
      <c r="BD87" s="992"/>
      <c r="BE87" s="992"/>
      <c r="BF87" s="992"/>
      <c r="BG87" s="992"/>
      <c r="BH87" s="992"/>
      <c r="BI87" s="992"/>
      <c r="BJ87" s="992"/>
      <c r="BK87" s="992"/>
      <c r="BL87" s="993"/>
      <c r="BT87" s="159"/>
    </row>
    <row r="88" spans="2:475" ht="19.899999999999999" customHeight="1" x14ac:dyDescent="0.25">
      <c r="B88" s="1124"/>
      <c r="C88" s="787">
        <f t="shared" si="1"/>
        <v>84</v>
      </c>
      <c r="AT88" s="992"/>
      <c r="AU88" s="992"/>
      <c r="AV88" s="992"/>
      <c r="AW88" s="992"/>
      <c r="AX88" s="992"/>
      <c r="AY88" s="992"/>
      <c r="AZ88" s="992"/>
      <c r="BA88" s="992"/>
      <c r="BB88" s="992"/>
      <c r="BC88" s="992"/>
      <c r="BD88" s="992"/>
      <c r="BE88" s="992"/>
      <c r="BF88" s="992"/>
      <c r="BG88" s="992"/>
      <c r="BH88" s="992"/>
      <c r="BI88" s="992"/>
      <c r="BJ88" s="992"/>
      <c r="BK88" s="992"/>
      <c r="BL88" s="993"/>
      <c r="BT88" s="159"/>
    </row>
    <row r="89" spans="2:475" ht="19.899999999999999" customHeight="1" x14ac:dyDescent="0.25">
      <c r="B89" s="1124"/>
      <c r="C89" s="787">
        <f t="shared" si="1"/>
        <v>85</v>
      </c>
      <c r="AH89" s="994" t="s">
        <v>291</v>
      </c>
      <c r="AI89" s="990"/>
      <c r="AJ89" s="990"/>
      <c r="AK89" s="990"/>
      <c r="AL89" s="990"/>
      <c r="AM89" s="990"/>
      <c r="AN89" s="990"/>
      <c r="AO89" s="990"/>
      <c r="AP89" s="990"/>
      <c r="AQ89" s="990"/>
      <c r="AR89" s="990"/>
      <c r="AS89" s="990"/>
      <c r="AT89" s="990"/>
      <c r="AU89" s="990"/>
      <c r="AV89" s="990"/>
      <c r="AW89" s="990"/>
      <c r="AX89" s="990"/>
      <c r="AY89" s="991"/>
      <c r="BT89" s="159"/>
    </row>
    <row r="90" spans="2:475" ht="19.899999999999999" customHeight="1" x14ac:dyDescent="0.25">
      <c r="B90" s="1124"/>
      <c r="C90" s="787">
        <f t="shared" si="1"/>
        <v>86</v>
      </c>
      <c r="AH90" s="995"/>
      <c r="AI90" s="992"/>
      <c r="AJ90" s="992"/>
      <c r="AK90" s="992"/>
      <c r="AL90" s="992"/>
      <c r="AM90" s="992"/>
      <c r="AN90" s="992"/>
      <c r="AO90" s="992"/>
      <c r="AP90" s="992"/>
      <c r="AQ90" s="992"/>
      <c r="AR90" s="992"/>
      <c r="AS90" s="992"/>
      <c r="AT90" s="992"/>
      <c r="AU90" s="992"/>
      <c r="AV90" s="992"/>
      <c r="AW90" s="992"/>
      <c r="AX90" s="992"/>
      <c r="AY90" s="993"/>
      <c r="BT90" s="159"/>
    </row>
    <row r="91" spans="2:475" ht="19.899999999999999" customHeight="1" x14ac:dyDescent="0.25">
      <c r="B91" s="1124"/>
      <c r="C91" s="787">
        <f t="shared" si="1"/>
        <v>87</v>
      </c>
      <c r="AH91" s="996"/>
      <c r="AI91" s="997"/>
      <c r="AJ91" s="997"/>
      <c r="AK91" s="997"/>
      <c r="AL91" s="997"/>
      <c r="AM91" s="997"/>
      <c r="AN91" s="997"/>
      <c r="AO91" s="997"/>
      <c r="AP91" s="997"/>
      <c r="AQ91" s="997"/>
      <c r="AR91" s="997"/>
      <c r="AS91" s="997"/>
      <c r="AT91" s="997"/>
      <c r="AU91" s="997"/>
      <c r="AV91" s="997"/>
      <c r="AW91" s="997"/>
      <c r="AX91" s="997"/>
      <c r="AY91" s="998"/>
      <c r="BT91" s="159"/>
    </row>
    <row r="92" spans="2:475" ht="19.899999999999999" customHeight="1" x14ac:dyDescent="0.25">
      <c r="B92" s="1124"/>
      <c r="C92" s="787">
        <f t="shared" si="1"/>
        <v>88</v>
      </c>
      <c r="AQ92" s="995" t="s">
        <v>292</v>
      </c>
      <c r="AR92" s="992"/>
      <c r="AS92" s="992"/>
      <c r="AT92" s="992"/>
      <c r="AU92" s="992"/>
      <c r="AV92" s="992"/>
      <c r="AW92" s="992"/>
      <c r="AX92" s="992"/>
      <c r="AY92" s="992"/>
      <c r="AZ92" s="990"/>
      <c r="BA92" s="990"/>
      <c r="BB92" s="990"/>
      <c r="BC92" s="990"/>
      <c r="BD92" s="990"/>
      <c r="BE92" s="990"/>
      <c r="BF92" s="990"/>
      <c r="BG92" s="990"/>
      <c r="BH92" s="990"/>
      <c r="BI92" s="990"/>
      <c r="BJ92" s="990"/>
      <c r="BK92" s="990"/>
      <c r="BL92" s="990"/>
      <c r="BM92" s="990"/>
      <c r="BN92" s="991"/>
      <c r="BT92" s="159"/>
    </row>
    <row r="93" spans="2:475" ht="19.899999999999999" customHeight="1" x14ac:dyDescent="0.25">
      <c r="B93" s="1124"/>
      <c r="C93" s="787">
        <f t="shared" si="1"/>
        <v>89</v>
      </c>
      <c r="AQ93" s="995"/>
      <c r="AR93" s="992"/>
      <c r="AS93" s="992"/>
      <c r="AT93" s="992"/>
      <c r="AU93" s="992"/>
      <c r="AV93" s="992"/>
      <c r="AW93" s="992"/>
      <c r="AX93" s="992"/>
      <c r="AY93" s="992"/>
      <c r="AZ93" s="992"/>
      <c r="BA93" s="992"/>
      <c r="BB93" s="992"/>
      <c r="BC93" s="992"/>
      <c r="BD93" s="992"/>
      <c r="BE93" s="992"/>
      <c r="BF93" s="992"/>
      <c r="BG93" s="992"/>
      <c r="BH93" s="992"/>
      <c r="BI93" s="992"/>
      <c r="BJ93" s="992"/>
      <c r="BK93" s="992"/>
      <c r="BL93" s="992"/>
      <c r="BM93" s="992"/>
      <c r="BN93" s="993"/>
      <c r="BT93" s="159"/>
    </row>
    <row r="94" spans="2:475" ht="19.899999999999999" customHeight="1" x14ac:dyDescent="0.25">
      <c r="B94" s="1124"/>
      <c r="C94" s="787">
        <f t="shared" si="1"/>
        <v>90</v>
      </c>
      <c r="AQ94" s="995"/>
      <c r="AR94" s="992"/>
      <c r="AS94" s="992"/>
      <c r="AT94" s="992"/>
      <c r="AU94" s="992"/>
      <c r="AV94" s="992"/>
      <c r="AW94" s="992"/>
      <c r="AX94" s="992"/>
      <c r="AY94" s="992"/>
      <c r="AZ94" s="992"/>
      <c r="BA94" s="992"/>
      <c r="BB94" s="992"/>
      <c r="BC94" s="992"/>
      <c r="BD94" s="992"/>
      <c r="BE94" s="992"/>
      <c r="BF94" s="992"/>
      <c r="BG94" s="992"/>
      <c r="BH94" s="992"/>
      <c r="BI94" s="992"/>
      <c r="BJ94" s="992"/>
      <c r="BK94" s="992"/>
      <c r="BL94" s="992"/>
      <c r="BM94" s="992"/>
      <c r="BN94" s="993"/>
      <c r="BT94" s="159"/>
    </row>
    <row r="95" spans="2:475" ht="19.899999999999999" customHeight="1" x14ac:dyDescent="0.25">
      <c r="B95" s="1124"/>
      <c r="C95" s="787">
        <f t="shared" si="1"/>
        <v>91</v>
      </c>
      <c r="AQ95" s="995"/>
      <c r="AR95" s="992"/>
      <c r="AS95" s="992"/>
      <c r="AT95" s="992"/>
      <c r="AU95" s="992"/>
      <c r="AV95" s="992"/>
      <c r="AW95" s="992"/>
      <c r="AX95" s="992"/>
      <c r="AY95" s="992"/>
      <c r="AZ95" s="992"/>
      <c r="BA95" s="992"/>
      <c r="BB95" s="992"/>
      <c r="BC95" s="992"/>
      <c r="BD95" s="992"/>
      <c r="BE95" s="992"/>
      <c r="BF95" s="992"/>
      <c r="BG95" s="992"/>
      <c r="BH95" s="992"/>
      <c r="BI95" s="992"/>
      <c r="BJ95" s="992"/>
      <c r="BK95" s="992"/>
      <c r="BL95" s="992"/>
      <c r="BM95" s="992"/>
      <c r="BN95" s="993"/>
      <c r="BT95" s="159"/>
    </row>
    <row r="96" spans="2:475" ht="19.899999999999999" customHeight="1" x14ac:dyDescent="0.25">
      <c r="B96" s="1124"/>
      <c r="C96" s="787">
        <f t="shared" si="1"/>
        <v>92</v>
      </c>
      <c r="AQ96" s="996"/>
      <c r="AR96" s="997"/>
      <c r="AS96" s="997"/>
      <c r="AT96" s="997"/>
      <c r="AU96" s="997"/>
      <c r="AV96" s="997"/>
      <c r="AW96" s="997"/>
      <c r="AX96" s="997"/>
      <c r="AY96" s="997"/>
      <c r="AZ96" s="997"/>
      <c r="BA96" s="997"/>
      <c r="BB96" s="997"/>
      <c r="BC96" s="997"/>
      <c r="BD96" s="997"/>
      <c r="BE96" s="997"/>
      <c r="BF96" s="997"/>
      <c r="BG96" s="997"/>
      <c r="BH96" s="997"/>
      <c r="BI96" s="997"/>
      <c r="BJ96" s="997"/>
      <c r="BK96" s="997"/>
      <c r="BL96" s="997"/>
      <c r="BM96" s="997"/>
      <c r="BN96" s="998"/>
      <c r="BT96" s="159"/>
    </row>
    <row r="97" spans="2:475" ht="19.899999999999999" customHeight="1" x14ac:dyDescent="0.25">
      <c r="B97" s="1124"/>
      <c r="C97" s="787">
        <f t="shared" si="1"/>
        <v>93</v>
      </c>
      <c r="AM97" s="995" t="s">
        <v>319</v>
      </c>
      <c r="AN97" s="992"/>
      <c r="AO97" s="992"/>
      <c r="AP97" s="992"/>
      <c r="AQ97" s="992"/>
      <c r="AR97" s="992"/>
      <c r="AS97" s="992"/>
      <c r="AT97" s="992"/>
      <c r="AU97" s="992"/>
      <c r="AV97" s="992"/>
      <c r="AW97" s="992"/>
      <c r="AX97" s="992"/>
      <c r="BT97" s="159"/>
    </row>
    <row r="98" spans="2:475" ht="19.899999999999999" customHeight="1" x14ac:dyDescent="0.25">
      <c r="B98" s="1124"/>
      <c r="C98" s="787">
        <f t="shared" ref="C98:C161" si="2">C97+1</f>
        <v>94</v>
      </c>
      <c r="AM98" s="995"/>
      <c r="AN98" s="992"/>
      <c r="AO98" s="992"/>
      <c r="AP98" s="992"/>
      <c r="AQ98" s="992"/>
      <c r="AR98" s="992"/>
      <c r="AS98" s="992"/>
      <c r="AT98" s="992"/>
      <c r="AU98" s="992"/>
      <c r="AV98" s="992"/>
      <c r="AW98" s="992"/>
      <c r="AX98" s="992"/>
      <c r="BT98" s="159"/>
    </row>
    <row r="99" spans="2:475" ht="19.899999999999999" customHeight="1" x14ac:dyDescent="0.25">
      <c r="B99" s="1124"/>
      <c r="C99" s="787">
        <f t="shared" si="2"/>
        <v>95</v>
      </c>
      <c r="AD99" s="1107" t="s">
        <v>311</v>
      </c>
      <c r="AE99" s="1107"/>
      <c r="AF99" s="1107"/>
      <c r="AG99" s="1107"/>
      <c r="AH99" s="1107"/>
      <c r="AI99" s="1107"/>
      <c r="AJ99" s="1107"/>
      <c r="AK99" s="1107"/>
      <c r="AL99" s="1107"/>
      <c r="AM99" s="1107"/>
      <c r="AN99" s="1107"/>
      <c r="AO99" s="1107"/>
      <c r="AP99" s="1107"/>
      <c r="AQ99" s="1107"/>
      <c r="AR99" s="1107"/>
      <c r="AS99" s="1107"/>
      <c r="AT99" s="1107"/>
      <c r="AU99" s="1107"/>
      <c r="AV99" s="1107"/>
      <c r="AW99" s="1107"/>
      <c r="AX99" s="1107"/>
      <c r="AY99" s="1107"/>
      <c r="AZ99" s="1107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124"/>
      <c r="C100" s="787">
        <f t="shared" si="2"/>
        <v>96</v>
      </c>
      <c r="AD100" s="1107"/>
      <c r="AE100" s="1107"/>
      <c r="AF100" s="1107"/>
      <c r="AG100" s="1107"/>
      <c r="AH100" s="1107"/>
      <c r="AI100" s="1107"/>
      <c r="AJ100" s="1107"/>
      <c r="AK100" s="1107"/>
      <c r="AL100" s="1107"/>
      <c r="AM100" s="1107"/>
      <c r="AN100" s="1107"/>
      <c r="AO100" s="1107"/>
      <c r="AP100" s="1107"/>
      <c r="AQ100" s="1107"/>
      <c r="AR100" s="1107"/>
      <c r="AS100" s="1107"/>
      <c r="AT100" s="1107"/>
      <c r="AU100" s="1107"/>
      <c r="AV100" s="1107"/>
      <c r="AW100" s="1107"/>
      <c r="AX100" s="1107"/>
      <c r="AY100" s="1107"/>
      <c r="AZ100" s="1107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124"/>
      <c r="C101" s="787">
        <f t="shared" si="2"/>
        <v>97</v>
      </c>
      <c r="AD101" s="1107"/>
      <c r="AE101" s="1107"/>
      <c r="AF101" s="1107"/>
      <c r="AG101" s="1107"/>
      <c r="AH101" s="1107"/>
      <c r="AI101" s="1107"/>
      <c r="AJ101" s="1107"/>
      <c r="AK101" s="1107"/>
      <c r="AL101" s="1107"/>
      <c r="AM101" s="1107"/>
      <c r="AN101" s="1107"/>
      <c r="AO101" s="1107"/>
      <c r="AP101" s="1107"/>
      <c r="AQ101" s="1107"/>
      <c r="AR101" s="1107"/>
      <c r="AS101" s="1107"/>
      <c r="AT101" s="1107"/>
      <c r="AU101" s="1107"/>
      <c r="AV101" s="1107"/>
      <c r="AW101" s="1107"/>
      <c r="AX101" s="1107"/>
      <c r="AY101" s="1107"/>
      <c r="AZ101" s="1107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124"/>
      <c r="C102" s="787">
        <f t="shared" si="2"/>
        <v>98</v>
      </c>
      <c r="AD102" s="1107"/>
      <c r="AE102" s="1107"/>
      <c r="AF102" s="1107"/>
      <c r="AG102" s="1107"/>
      <c r="AH102" s="1107"/>
      <c r="AI102" s="1107"/>
      <c r="AJ102" s="1107"/>
      <c r="AK102" s="1107"/>
      <c r="AL102" s="1107"/>
      <c r="AM102" s="1107"/>
      <c r="AN102" s="1107"/>
      <c r="AO102" s="1107"/>
      <c r="AP102" s="1107"/>
      <c r="AQ102" s="1107"/>
      <c r="AR102" s="1107"/>
      <c r="AS102" s="1107"/>
      <c r="AT102" s="1107"/>
      <c r="AU102" s="1107"/>
      <c r="AV102" s="1107"/>
      <c r="AW102" s="1107"/>
      <c r="AX102" s="1107"/>
      <c r="AY102" s="1107"/>
      <c r="AZ102" s="1107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124"/>
      <c r="C103" s="787">
        <f t="shared" si="2"/>
        <v>99</v>
      </c>
      <c r="BT103" s="159"/>
    </row>
    <row r="104" spans="2:475" s="564" customFormat="1" ht="20.100000000000001" customHeight="1" x14ac:dyDescent="0.25">
      <c r="B104" s="1125"/>
      <c r="C104" s="788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120" t="s">
        <v>290</v>
      </c>
      <c r="C105" s="787">
        <f t="shared" si="2"/>
        <v>101</v>
      </c>
      <c r="U105" s="1064" t="s">
        <v>300</v>
      </c>
      <c r="V105" s="1065"/>
      <c r="W105" s="1065"/>
      <c r="X105" s="1065"/>
      <c r="Y105" s="1065"/>
      <c r="Z105" s="1065"/>
      <c r="AA105" s="1065"/>
      <c r="AB105" s="1065"/>
      <c r="AC105" s="1065"/>
      <c r="AD105" s="1065"/>
      <c r="AE105" s="1065"/>
      <c r="AF105" s="1065"/>
      <c r="AG105" s="1065"/>
      <c r="AH105" s="1065"/>
      <c r="AI105" s="1065"/>
      <c r="AJ105" s="1065"/>
      <c r="AK105" s="1065"/>
      <c r="AL105" s="1065"/>
      <c r="AM105" s="1065"/>
      <c r="AN105" s="1065"/>
      <c r="AO105" s="1065"/>
      <c r="AP105" s="1065"/>
      <c r="AQ105" s="1065"/>
      <c r="AR105" s="1065"/>
      <c r="AS105" s="1065"/>
      <c r="AT105" s="1065"/>
      <c r="AU105" s="1065"/>
      <c r="AV105" s="1065"/>
      <c r="AW105" s="1065"/>
      <c r="AX105" s="1065"/>
      <c r="AY105" s="1065"/>
      <c r="AZ105" s="1065"/>
      <c r="BA105" s="1065"/>
      <c r="BB105" s="1065"/>
      <c r="BC105" s="1065"/>
      <c r="BD105" s="1065"/>
      <c r="BE105" s="1065"/>
      <c r="BF105" s="1065"/>
      <c r="BG105" s="1065"/>
      <c r="BH105" s="1065"/>
      <c r="BI105" s="1065"/>
      <c r="BJ105" s="1065"/>
      <c r="BK105" s="1065"/>
      <c r="BL105" s="1065"/>
      <c r="BM105" s="1065"/>
      <c r="BN105" s="1065"/>
      <c r="BO105" s="1065"/>
      <c r="BP105" s="1065"/>
      <c r="BQ105" s="1065"/>
      <c r="BR105" s="1066"/>
      <c r="BT105" s="159"/>
    </row>
    <row r="106" spans="2:475" ht="20.100000000000001" customHeight="1" x14ac:dyDescent="0.25">
      <c r="B106" s="1121"/>
      <c r="C106" s="787">
        <f t="shared" si="2"/>
        <v>102</v>
      </c>
      <c r="U106" s="1067"/>
      <c r="V106" s="1068"/>
      <c r="W106" s="1068"/>
      <c r="X106" s="1068"/>
      <c r="Y106" s="1068"/>
      <c r="Z106" s="1068"/>
      <c r="AA106" s="1068"/>
      <c r="AB106" s="1068"/>
      <c r="AC106" s="1068"/>
      <c r="AD106" s="1068"/>
      <c r="AE106" s="1068"/>
      <c r="AF106" s="1068"/>
      <c r="AG106" s="1068"/>
      <c r="AH106" s="1068"/>
      <c r="AI106" s="1068"/>
      <c r="AJ106" s="1068"/>
      <c r="AK106" s="1068"/>
      <c r="AL106" s="1068"/>
      <c r="AM106" s="1068"/>
      <c r="AN106" s="1068"/>
      <c r="AO106" s="1068"/>
      <c r="AP106" s="1068"/>
      <c r="AQ106" s="1068"/>
      <c r="AR106" s="1068"/>
      <c r="AS106" s="1068"/>
      <c r="AT106" s="1068"/>
      <c r="AU106" s="1068"/>
      <c r="AV106" s="1068"/>
      <c r="AW106" s="1068"/>
      <c r="AX106" s="1068"/>
      <c r="AY106" s="1068"/>
      <c r="AZ106" s="1068"/>
      <c r="BA106" s="1068"/>
      <c r="BB106" s="1068"/>
      <c r="BC106" s="1068"/>
      <c r="BD106" s="1068"/>
      <c r="BE106" s="1068"/>
      <c r="BF106" s="1068"/>
      <c r="BG106" s="1068"/>
      <c r="BH106" s="1068"/>
      <c r="BI106" s="1068"/>
      <c r="BJ106" s="1068"/>
      <c r="BK106" s="1068"/>
      <c r="BL106" s="1068"/>
      <c r="BM106" s="1068"/>
      <c r="BN106" s="1068"/>
      <c r="BO106" s="1068"/>
      <c r="BP106" s="1068"/>
      <c r="BQ106" s="1068"/>
      <c r="BR106" s="1069"/>
      <c r="BT106" s="159"/>
    </row>
    <row r="107" spans="2:475" ht="20.100000000000001" customHeight="1" x14ac:dyDescent="0.25">
      <c r="B107" s="1121"/>
      <c r="C107" s="787">
        <f t="shared" si="2"/>
        <v>103</v>
      </c>
      <c r="U107" s="1067"/>
      <c r="V107" s="1068"/>
      <c r="W107" s="1068"/>
      <c r="X107" s="1068"/>
      <c r="Y107" s="1068"/>
      <c r="Z107" s="1068"/>
      <c r="AA107" s="1068"/>
      <c r="AB107" s="1068"/>
      <c r="AC107" s="1068"/>
      <c r="AD107" s="1068"/>
      <c r="AE107" s="1068"/>
      <c r="AF107" s="1068"/>
      <c r="AG107" s="1068"/>
      <c r="AH107" s="1068"/>
      <c r="AI107" s="1068"/>
      <c r="AJ107" s="1068"/>
      <c r="AK107" s="1068"/>
      <c r="AL107" s="1068"/>
      <c r="AM107" s="1068"/>
      <c r="AN107" s="1068"/>
      <c r="AO107" s="1068"/>
      <c r="AP107" s="1068"/>
      <c r="AQ107" s="1068"/>
      <c r="AR107" s="1068"/>
      <c r="AS107" s="1068"/>
      <c r="AT107" s="1068"/>
      <c r="AU107" s="1068"/>
      <c r="AV107" s="1068"/>
      <c r="AW107" s="1068"/>
      <c r="AX107" s="1068"/>
      <c r="AY107" s="1068"/>
      <c r="AZ107" s="1068"/>
      <c r="BA107" s="1068"/>
      <c r="BB107" s="1068"/>
      <c r="BC107" s="1068"/>
      <c r="BD107" s="1068"/>
      <c r="BE107" s="1068"/>
      <c r="BF107" s="1068"/>
      <c r="BG107" s="1068"/>
      <c r="BH107" s="1068"/>
      <c r="BI107" s="1068"/>
      <c r="BJ107" s="1068"/>
      <c r="BK107" s="1068"/>
      <c r="BL107" s="1068"/>
      <c r="BM107" s="1068"/>
      <c r="BN107" s="1068"/>
      <c r="BO107" s="1068"/>
      <c r="BP107" s="1068"/>
      <c r="BQ107" s="1068"/>
      <c r="BR107" s="1069"/>
      <c r="BT107" s="159"/>
    </row>
    <row r="108" spans="2:475" ht="20.100000000000001" customHeight="1" x14ac:dyDescent="0.25">
      <c r="B108" s="1121"/>
      <c r="C108" s="787">
        <f t="shared" si="2"/>
        <v>104</v>
      </c>
      <c r="U108" s="1067"/>
      <c r="V108" s="1068"/>
      <c r="W108" s="1068"/>
      <c r="X108" s="1068"/>
      <c r="Y108" s="1068"/>
      <c r="Z108" s="1068"/>
      <c r="AA108" s="1068"/>
      <c r="AB108" s="1068"/>
      <c r="AC108" s="1068"/>
      <c r="AD108" s="1068"/>
      <c r="AE108" s="1068"/>
      <c r="AF108" s="1068"/>
      <c r="AG108" s="1068"/>
      <c r="AH108" s="1068"/>
      <c r="AI108" s="1068"/>
      <c r="AJ108" s="1068"/>
      <c r="AK108" s="1068"/>
      <c r="AL108" s="1068"/>
      <c r="AM108" s="1068"/>
      <c r="AN108" s="1068"/>
      <c r="AO108" s="1068"/>
      <c r="AP108" s="1068"/>
      <c r="AQ108" s="1068"/>
      <c r="AR108" s="1068"/>
      <c r="AS108" s="1068"/>
      <c r="AT108" s="1068"/>
      <c r="AU108" s="1068"/>
      <c r="AV108" s="1068"/>
      <c r="AW108" s="1068"/>
      <c r="AX108" s="1068"/>
      <c r="AY108" s="1068"/>
      <c r="AZ108" s="1068"/>
      <c r="BA108" s="1068"/>
      <c r="BB108" s="1068"/>
      <c r="BC108" s="1068"/>
      <c r="BD108" s="1068"/>
      <c r="BE108" s="1068"/>
      <c r="BF108" s="1068"/>
      <c r="BG108" s="1068"/>
      <c r="BH108" s="1068"/>
      <c r="BI108" s="1068"/>
      <c r="BJ108" s="1068"/>
      <c r="BK108" s="1068"/>
      <c r="BL108" s="1068"/>
      <c r="BM108" s="1068"/>
      <c r="BN108" s="1068"/>
      <c r="BO108" s="1068"/>
      <c r="BP108" s="1068"/>
      <c r="BQ108" s="1068"/>
      <c r="BR108" s="1069"/>
      <c r="BT108" s="159"/>
    </row>
    <row r="109" spans="2:475" ht="20.100000000000001" customHeight="1" x14ac:dyDescent="0.25">
      <c r="B109" s="1121"/>
      <c r="C109" s="787">
        <f t="shared" si="2"/>
        <v>105</v>
      </c>
      <c r="U109" s="1067"/>
      <c r="V109" s="1068"/>
      <c r="W109" s="1068"/>
      <c r="X109" s="1068"/>
      <c r="Y109" s="1068"/>
      <c r="Z109" s="1068"/>
      <c r="AA109" s="1068"/>
      <c r="AB109" s="1068"/>
      <c r="AC109" s="1068"/>
      <c r="AD109" s="1068"/>
      <c r="AE109" s="1068"/>
      <c r="AF109" s="1068"/>
      <c r="AG109" s="1068"/>
      <c r="AH109" s="1068"/>
      <c r="AI109" s="1068"/>
      <c r="AJ109" s="1068"/>
      <c r="AK109" s="1068"/>
      <c r="AL109" s="1068"/>
      <c r="AM109" s="1068"/>
      <c r="AN109" s="1068"/>
      <c r="AO109" s="1068"/>
      <c r="AP109" s="1068"/>
      <c r="AQ109" s="1068"/>
      <c r="AR109" s="1068"/>
      <c r="AS109" s="1068"/>
      <c r="AT109" s="1068"/>
      <c r="AU109" s="1068"/>
      <c r="AV109" s="1068"/>
      <c r="AW109" s="1068"/>
      <c r="AX109" s="1068"/>
      <c r="AY109" s="1068"/>
      <c r="AZ109" s="1068"/>
      <c r="BA109" s="1068"/>
      <c r="BB109" s="1068"/>
      <c r="BC109" s="1068"/>
      <c r="BD109" s="1068"/>
      <c r="BE109" s="1068"/>
      <c r="BF109" s="1068"/>
      <c r="BG109" s="1068"/>
      <c r="BH109" s="1068"/>
      <c r="BI109" s="1068"/>
      <c r="BJ109" s="1068"/>
      <c r="BK109" s="1068"/>
      <c r="BL109" s="1068"/>
      <c r="BM109" s="1068"/>
      <c r="BN109" s="1068"/>
      <c r="BO109" s="1068"/>
      <c r="BP109" s="1068"/>
      <c r="BQ109" s="1068"/>
      <c r="BR109" s="1069"/>
      <c r="BT109" s="159"/>
    </row>
    <row r="110" spans="2:475" ht="20.100000000000001" customHeight="1" x14ac:dyDescent="0.25">
      <c r="B110" s="1121"/>
      <c r="C110" s="787">
        <f t="shared" si="2"/>
        <v>106</v>
      </c>
      <c r="U110" s="1067"/>
      <c r="V110" s="1068"/>
      <c r="W110" s="1068"/>
      <c r="X110" s="1068"/>
      <c r="Y110" s="1068"/>
      <c r="Z110" s="1068"/>
      <c r="AA110" s="1068"/>
      <c r="AB110" s="1068"/>
      <c r="AC110" s="1068"/>
      <c r="AD110" s="1068"/>
      <c r="AE110" s="1068"/>
      <c r="AF110" s="1068"/>
      <c r="AG110" s="1068"/>
      <c r="AH110" s="1068"/>
      <c r="AI110" s="1068"/>
      <c r="AJ110" s="1068"/>
      <c r="AK110" s="1068"/>
      <c r="AL110" s="1068"/>
      <c r="AM110" s="1068"/>
      <c r="AN110" s="1068"/>
      <c r="AO110" s="1068"/>
      <c r="AP110" s="1068"/>
      <c r="AQ110" s="1068"/>
      <c r="AR110" s="1068"/>
      <c r="AS110" s="1068"/>
      <c r="AT110" s="1068"/>
      <c r="AU110" s="1068"/>
      <c r="AV110" s="1068"/>
      <c r="AW110" s="1068"/>
      <c r="AX110" s="1068"/>
      <c r="AY110" s="1068"/>
      <c r="AZ110" s="1068"/>
      <c r="BA110" s="1068"/>
      <c r="BB110" s="1068"/>
      <c r="BC110" s="1068"/>
      <c r="BD110" s="1068"/>
      <c r="BE110" s="1068"/>
      <c r="BF110" s="1068"/>
      <c r="BG110" s="1068"/>
      <c r="BH110" s="1068"/>
      <c r="BI110" s="1068"/>
      <c r="BJ110" s="1068"/>
      <c r="BK110" s="1068"/>
      <c r="BL110" s="1068"/>
      <c r="BM110" s="1068"/>
      <c r="BN110" s="1068"/>
      <c r="BO110" s="1068"/>
      <c r="BP110" s="1068"/>
      <c r="BQ110" s="1068"/>
      <c r="BR110" s="1069"/>
      <c r="BT110" s="159"/>
    </row>
    <row r="111" spans="2:475" ht="20.100000000000001" customHeight="1" x14ac:dyDescent="0.25">
      <c r="B111" s="1121"/>
      <c r="C111" s="787">
        <f t="shared" si="2"/>
        <v>107</v>
      </c>
      <c r="U111" s="1067"/>
      <c r="V111" s="1068"/>
      <c r="W111" s="1068"/>
      <c r="X111" s="1068"/>
      <c r="Y111" s="1068"/>
      <c r="Z111" s="1068"/>
      <c r="AA111" s="1068"/>
      <c r="AB111" s="1068"/>
      <c r="AC111" s="1068"/>
      <c r="AD111" s="1068"/>
      <c r="AE111" s="1068"/>
      <c r="AF111" s="1068"/>
      <c r="AG111" s="1068"/>
      <c r="AH111" s="1068"/>
      <c r="AI111" s="1068"/>
      <c r="AJ111" s="1068"/>
      <c r="AK111" s="1068"/>
      <c r="AL111" s="1068"/>
      <c r="AM111" s="1068"/>
      <c r="AN111" s="1068"/>
      <c r="AO111" s="1068"/>
      <c r="AP111" s="1068"/>
      <c r="AQ111" s="1068"/>
      <c r="AR111" s="1068"/>
      <c r="AS111" s="1068"/>
      <c r="AT111" s="1068"/>
      <c r="AU111" s="1068"/>
      <c r="AV111" s="1068"/>
      <c r="AW111" s="1068"/>
      <c r="AX111" s="1068"/>
      <c r="AY111" s="1068"/>
      <c r="AZ111" s="1068"/>
      <c r="BA111" s="1068"/>
      <c r="BB111" s="1068"/>
      <c r="BC111" s="1068"/>
      <c r="BD111" s="1068"/>
      <c r="BE111" s="1068"/>
      <c r="BF111" s="1068"/>
      <c r="BG111" s="1068"/>
      <c r="BH111" s="1068"/>
      <c r="BI111" s="1068"/>
      <c r="BJ111" s="1068"/>
      <c r="BK111" s="1068"/>
      <c r="BL111" s="1068"/>
      <c r="BM111" s="1068"/>
      <c r="BN111" s="1068"/>
      <c r="BO111" s="1068"/>
      <c r="BP111" s="1068"/>
      <c r="BQ111" s="1068"/>
      <c r="BR111" s="1069"/>
      <c r="BT111" s="159"/>
    </row>
    <row r="112" spans="2:475" ht="20.100000000000001" customHeight="1" x14ac:dyDescent="0.25">
      <c r="B112" s="1121"/>
      <c r="C112" s="787">
        <f t="shared" si="2"/>
        <v>108</v>
      </c>
      <c r="U112" s="1067"/>
      <c r="V112" s="1068"/>
      <c r="W112" s="1068"/>
      <c r="X112" s="1068"/>
      <c r="Y112" s="1068"/>
      <c r="Z112" s="1068"/>
      <c r="AA112" s="1068"/>
      <c r="AB112" s="1068"/>
      <c r="AC112" s="1068"/>
      <c r="AD112" s="1068"/>
      <c r="AE112" s="1068"/>
      <c r="AF112" s="1068"/>
      <c r="AG112" s="1068"/>
      <c r="AH112" s="1068"/>
      <c r="AI112" s="1068"/>
      <c r="AJ112" s="1068"/>
      <c r="AK112" s="1068"/>
      <c r="AL112" s="1068"/>
      <c r="AM112" s="1068"/>
      <c r="AN112" s="1068"/>
      <c r="AO112" s="1068"/>
      <c r="AP112" s="1068"/>
      <c r="AQ112" s="1068"/>
      <c r="AR112" s="1068"/>
      <c r="AS112" s="1068"/>
      <c r="AT112" s="1068"/>
      <c r="AU112" s="1068"/>
      <c r="AV112" s="1068"/>
      <c r="AW112" s="1068"/>
      <c r="AX112" s="1068"/>
      <c r="AY112" s="1068"/>
      <c r="AZ112" s="1068"/>
      <c r="BA112" s="1068"/>
      <c r="BB112" s="1068"/>
      <c r="BC112" s="1068"/>
      <c r="BD112" s="1068"/>
      <c r="BE112" s="1068"/>
      <c r="BF112" s="1068"/>
      <c r="BG112" s="1068"/>
      <c r="BH112" s="1068"/>
      <c r="BI112" s="1068"/>
      <c r="BJ112" s="1068"/>
      <c r="BK112" s="1068"/>
      <c r="BL112" s="1068"/>
      <c r="BM112" s="1068"/>
      <c r="BN112" s="1068"/>
      <c r="BO112" s="1068"/>
      <c r="BP112" s="1068"/>
      <c r="BQ112" s="1068"/>
      <c r="BR112" s="1069"/>
      <c r="BT112" s="159"/>
    </row>
    <row r="113" spans="2:475" ht="20.100000000000001" customHeight="1" x14ac:dyDescent="0.25">
      <c r="B113" s="1121"/>
      <c r="C113" s="787">
        <f t="shared" si="2"/>
        <v>109</v>
      </c>
      <c r="U113" s="1067"/>
      <c r="V113" s="1068"/>
      <c r="W113" s="1068"/>
      <c r="X113" s="1068"/>
      <c r="Y113" s="1068"/>
      <c r="Z113" s="1068"/>
      <c r="AA113" s="1068"/>
      <c r="AB113" s="1068"/>
      <c r="AC113" s="1068"/>
      <c r="AD113" s="1068"/>
      <c r="AE113" s="1068"/>
      <c r="AF113" s="1068"/>
      <c r="AG113" s="1068"/>
      <c r="AH113" s="1068"/>
      <c r="AI113" s="1068"/>
      <c r="AJ113" s="1068"/>
      <c r="AK113" s="1068"/>
      <c r="AL113" s="1068"/>
      <c r="AM113" s="1068"/>
      <c r="AN113" s="1068"/>
      <c r="AO113" s="1068"/>
      <c r="AP113" s="1068"/>
      <c r="AQ113" s="1068"/>
      <c r="AR113" s="1068"/>
      <c r="AS113" s="1068"/>
      <c r="AT113" s="1068"/>
      <c r="AU113" s="1068"/>
      <c r="AV113" s="1068"/>
      <c r="AW113" s="1068"/>
      <c r="AX113" s="1068"/>
      <c r="AY113" s="1068"/>
      <c r="AZ113" s="1068"/>
      <c r="BA113" s="1068"/>
      <c r="BB113" s="1068"/>
      <c r="BC113" s="1068"/>
      <c r="BD113" s="1068"/>
      <c r="BE113" s="1068"/>
      <c r="BF113" s="1068"/>
      <c r="BG113" s="1068"/>
      <c r="BH113" s="1068"/>
      <c r="BI113" s="1068"/>
      <c r="BJ113" s="1068"/>
      <c r="BK113" s="1068"/>
      <c r="BL113" s="1068"/>
      <c r="BM113" s="1068"/>
      <c r="BN113" s="1068"/>
      <c r="BO113" s="1068"/>
      <c r="BP113" s="1068"/>
      <c r="BQ113" s="1068"/>
      <c r="BR113" s="1069"/>
      <c r="BT113" s="159"/>
    </row>
    <row r="114" spans="2:475" ht="20.100000000000001" customHeight="1" x14ac:dyDescent="0.25">
      <c r="B114" s="1121"/>
      <c r="C114" s="787">
        <f t="shared" si="2"/>
        <v>110</v>
      </c>
      <c r="U114" s="1070"/>
      <c r="V114" s="1071"/>
      <c r="W114" s="1071"/>
      <c r="X114" s="1071"/>
      <c r="Y114" s="1071"/>
      <c r="Z114" s="1071"/>
      <c r="AA114" s="1071"/>
      <c r="AB114" s="1071"/>
      <c r="AC114" s="1071"/>
      <c r="AD114" s="1071"/>
      <c r="AE114" s="1071"/>
      <c r="AF114" s="1071"/>
      <c r="AG114" s="1071"/>
      <c r="AH114" s="1071"/>
      <c r="AI114" s="1071"/>
      <c r="AJ114" s="1071"/>
      <c r="AK114" s="1071"/>
      <c r="AL114" s="1071"/>
      <c r="AM114" s="1071"/>
      <c r="AN114" s="1071"/>
      <c r="AO114" s="1071"/>
      <c r="AP114" s="1071"/>
      <c r="AQ114" s="1071"/>
      <c r="AR114" s="1071"/>
      <c r="AS114" s="1071"/>
      <c r="AT114" s="1071"/>
      <c r="AU114" s="1071"/>
      <c r="AV114" s="1071"/>
      <c r="AW114" s="1071"/>
      <c r="AX114" s="1071"/>
      <c r="AY114" s="1071"/>
      <c r="AZ114" s="1071"/>
      <c r="BA114" s="1071"/>
      <c r="BB114" s="1071"/>
      <c r="BC114" s="1071"/>
      <c r="BD114" s="1071"/>
      <c r="BE114" s="1071"/>
      <c r="BF114" s="1071"/>
      <c r="BG114" s="1071"/>
      <c r="BH114" s="1071"/>
      <c r="BI114" s="1071"/>
      <c r="BJ114" s="1071"/>
      <c r="BK114" s="1071"/>
      <c r="BL114" s="1071"/>
      <c r="BM114" s="1071"/>
      <c r="BN114" s="1071"/>
      <c r="BO114" s="1071"/>
      <c r="BP114" s="1071"/>
      <c r="BQ114" s="1071"/>
      <c r="BR114" s="1072"/>
      <c r="BT114" s="159"/>
    </row>
    <row r="115" spans="2:475" ht="20.100000000000001" customHeight="1" x14ac:dyDescent="0.25">
      <c r="B115" s="1121"/>
      <c r="C115" s="787">
        <f t="shared" si="2"/>
        <v>111</v>
      </c>
      <c r="AI115" s="1064" t="s">
        <v>301</v>
      </c>
      <c r="AJ115" s="1065"/>
      <c r="AK115" s="1065"/>
      <c r="AL115" s="1065"/>
      <c r="AM115" s="1065"/>
      <c r="AN115" s="1065"/>
      <c r="AO115" s="1065"/>
      <c r="AP115" s="1065"/>
      <c r="AQ115" s="1065"/>
      <c r="AR115" s="1065"/>
      <c r="AS115" s="1065"/>
      <c r="AT115" s="1065"/>
      <c r="AU115" s="1065"/>
      <c r="AV115" s="1065"/>
      <c r="AW115" s="1065"/>
      <c r="AX115" s="1065"/>
      <c r="AY115" s="1065"/>
      <c r="AZ115" s="1065"/>
      <c r="BA115" s="1065"/>
      <c r="BB115" s="1065"/>
      <c r="BC115" s="106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121"/>
      <c r="C116" s="787">
        <f t="shared" si="2"/>
        <v>112</v>
      </c>
      <c r="AI116" s="1067"/>
      <c r="AJ116" s="1068"/>
      <c r="AK116" s="1068"/>
      <c r="AL116" s="1068"/>
      <c r="AM116" s="1068"/>
      <c r="AN116" s="1068"/>
      <c r="AO116" s="1068"/>
      <c r="AP116" s="1068"/>
      <c r="AQ116" s="1068"/>
      <c r="AR116" s="1068"/>
      <c r="AS116" s="1068"/>
      <c r="AT116" s="1068"/>
      <c r="AU116" s="1068"/>
      <c r="AV116" s="1068"/>
      <c r="AW116" s="1068"/>
      <c r="AX116" s="1068"/>
      <c r="AY116" s="1068"/>
      <c r="AZ116" s="1068"/>
      <c r="BA116" s="1068"/>
      <c r="BB116" s="1068"/>
      <c r="BC116" s="106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121"/>
      <c r="C117" s="787">
        <f t="shared" si="2"/>
        <v>113</v>
      </c>
      <c r="AI117" s="1070"/>
      <c r="AJ117" s="1071"/>
      <c r="AK117" s="1071"/>
      <c r="AL117" s="1071"/>
      <c r="AM117" s="1071"/>
      <c r="AN117" s="1071"/>
      <c r="AO117" s="1071"/>
      <c r="AP117" s="1071"/>
      <c r="AQ117" s="1071"/>
      <c r="AR117" s="1071"/>
      <c r="AS117" s="1071"/>
      <c r="AT117" s="1071"/>
      <c r="AU117" s="1071"/>
      <c r="AV117" s="1071"/>
      <c r="AW117" s="1071"/>
      <c r="AX117" s="1071"/>
      <c r="AY117" s="1071"/>
      <c r="AZ117" s="1071"/>
      <c r="BA117" s="1071"/>
      <c r="BB117" s="1071"/>
      <c r="BC117" s="107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121"/>
      <c r="C118" s="787">
        <f t="shared" si="2"/>
        <v>114</v>
      </c>
      <c r="P118" s="1073" t="s">
        <v>302</v>
      </c>
      <c r="Q118" s="1074"/>
      <c r="R118" s="1074"/>
      <c r="S118" s="1074"/>
      <c r="T118" s="1075"/>
      <c r="U118" s="1075"/>
      <c r="V118" s="1075"/>
      <c r="W118" s="1075"/>
      <c r="X118" s="1075"/>
      <c r="Y118" s="1075"/>
      <c r="Z118" s="1075"/>
      <c r="AA118" s="1075"/>
      <c r="AB118" s="1075"/>
      <c r="AC118" s="1076"/>
      <c r="BT118" s="159"/>
    </row>
    <row r="119" spans="2:475" ht="20.100000000000001" customHeight="1" x14ac:dyDescent="0.25">
      <c r="B119" s="1121"/>
      <c r="C119" s="787">
        <f t="shared" si="2"/>
        <v>115</v>
      </c>
      <c r="T119" s="1073" t="s">
        <v>303</v>
      </c>
      <c r="U119" s="1074"/>
      <c r="V119" s="1074"/>
      <c r="W119" s="1074"/>
      <c r="X119" s="1074"/>
      <c r="Y119" s="1074"/>
      <c r="Z119" s="1074"/>
      <c r="AA119" s="1074"/>
      <c r="AB119" s="1074"/>
      <c r="AC119" s="1074"/>
      <c r="AD119" s="1075"/>
      <c r="AE119" s="1075"/>
      <c r="AF119" s="1075"/>
      <c r="AG119" s="1075"/>
      <c r="AH119" s="1076"/>
      <c r="BT119" s="159"/>
    </row>
    <row r="120" spans="2:475" ht="20.100000000000001" customHeight="1" x14ac:dyDescent="0.25">
      <c r="B120" s="1121"/>
      <c r="C120" s="787">
        <f t="shared" si="2"/>
        <v>116</v>
      </c>
      <c r="AD120" s="1064" t="s">
        <v>304</v>
      </c>
      <c r="AE120" s="1065"/>
      <c r="AF120" s="1065"/>
      <c r="AG120" s="1065"/>
      <c r="AH120" s="1065"/>
      <c r="AI120" s="1065"/>
      <c r="AJ120" s="1065"/>
      <c r="AK120" s="1065"/>
      <c r="AL120" s="1065"/>
      <c r="AM120" s="1065"/>
      <c r="AN120" s="1065"/>
      <c r="AO120" s="1065"/>
      <c r="AP120" s="1065"/>
      <c r="AQ120" s="1065"/>
      <c r="AR120" s="1065"/>
      <c r="AS120" s="1065"/>
      <c r="AT120" s="1065"/>
      <c r="AU120" s="1065"/>
      <c r="AV120" s="1065"/>
      <c r="AW120" s="1065"/>
      <c r="AX120" s="1065"/>
      <c r="AY120" s="1065"/>
      <c r="AZ120" s="1065"/>
      <c r="BA120" s="1065"/>
      <c r="BB120" s="1065"/>
      <c r="BC120" s="1065"/>
      <c r="BD120" s="1065"/>
      <c r="BE120" s="1065"/>
      <c r="BF120" s="1065"/>
      <c r="BG120" s="1065"/>
      <c r="BH120" s="1065"/>
      <c r="BI120" s="1065"/>
      <c r="BJ120" s="1065"/>
      <c r="BK120" s="1065"/>
      <c r="BL120" s="1065"/>
      <c r="BM120" s="1065"/>
      <c r="BN120" s="1065"/>
      <c r="BO120" s="1065"/>
      <c r="BP120" s="1065"/>
      <c r="BQ120" s="1066"/>
      <c r="BT120" s="159"/>
    </row>
    <row r="121" spans="2:475" ht="20.100000000000001" customHeight="1" x14ac:dyDescent="0.25">
      <c r="B121" s="1121"/>
      <c r="C121" s="787">
        <f t="shared" si="2"/>
        <v>117</v>
      </c>
      <c r="AD121" s="1067"/>
      <c r="AE121" s="1068"/>
      <c r="AF121" s="1068"/>
      <c r="AG121" s="1068"/>
      <c r="AH121" s="1068"/>
      <c r="AI121" s="1068"/>
      <c r="AJ121" s="1068"/>
      <c r="AK121" s="1068"/>
      <c r="AL121" s="1068"/>
      <c r="AM121" s="1068"/>
      <c r="AN121" s="1068"/>
      <c r="AO121" s="1068"/>
      <c r="AP121" s="1068"/>
      <c r="AQ121" s="1068"/>
      <c r="AR121" s="1068"/>
      <c r="AS121" s="1068"/>
      <c r="AT121" s="1068"/>
      <c r="AU121" s="1068"/>
      <c r="AV121" s="1068"/>
      <c r="AW121" s="1068"/>
      <c r="AX121" s="1068"/>
      <c r="AY121" s="1068"/>
      <c r="AZ121" s="1068"/>
      <c r="BA121" s="1068"/>
      <c r="BB121" s="1068"/>
      <c r="BC121" s="1068"/>
      <c r="BD121" s="1068"/>
      <c r="BE121" s="1068"/>
      <c r="BF121" s="1068"/>
      <c r="BG121" s="1068"/>
      <c r="BH121" s="1068"/>
      <c r="BI121" s="1068"/>
      <c r="BJ121" s="1068"/>
      <c r="BK121" s="1068"/>
      <c r="BL121" s="1068"/>
      <c r="BM121" s="1068"/>
      <c r="BN121" s="1068"/>
      <c r="BO121" s="1068"/>
      <c r="BP121" s="1068"/>
      <c r="BQ121" s="1069"/>
      <c r="BT121" s="159"/>
    </row>
    <row r="122" spans="2:475" ht="20.100000000000001" customHeight="1" x14ac:dyDescent="0.25">
      <c r="B122" s="1121"/>
      <c r="C122" s="787">
        <f t="shared" si="2"/>
        <v>118</v>
      </c>
      <c r="AD122" s="1067"/>
      <c r="AE122" s="1068"/>
      <c r="AF122" s="1068"/>
      <c r="AG122" s="1068"/>
      <c r="AH122" s="1071"/>
      <c r="AI122" s="1071"/>
      <c r="AJ122" s="1071"/>
      <c r="AK122" s="1071"/>
      <c r="AL122" s="1071"/>
      <c r="AM122" s="1071"/>
      <c r="AN122" s="1071"/>
      <c r="AO122" s="1071"/>
      <c r="AP122" s="1071"/>
      <c r="AQ122" s="1071"/>
      <c r="AR122" s="1071"/>
      <c r="AS122" s="1071"/>
      <c r="AT122" s="1071"/>
      <c r="AU122" s="1071"/>
      <c r="AV122" s="1071"/>
      <c r="AW122" s="1071"/>
      <c r="AX122" s="1071"/>
      <c r="AY122" s="1071"/>
      <c r="AZ122" s="1071"/>
      <c r="BA122" s="1071"/>
      <c r="BB122" s="1071"/>
      <c r="BC122" s="1071"/>
      <c r="BD122" s="1071"/>
      <c r="BE122" s="1071"/>
      <c r="BF122" s="1071"/>
      <c r="BG122" s="1071"/>
      <c r="BH122" s="1071"/>
      <c r="BI122" s="1071"/>
      <c r="BJ122" s="1071"/>
      <c r="BK122" s="1071"/>
      <c r="BL122" s="1071"/>
      <c r="BM122" s="1071"/>
      <c r="BN122" s="1071"/>
      <c r="BO122" s="1071"/>
      <c r="BP122" s="1071"/>
      <c r="BQ122" s="1072"/>
      <c r="BT122" s="159"/>
    </row>
    <row r="123" spans="2:475" ht="20.100000000000001" customHeight="1" x14ac:dyDescent="0.25">
      <c r="B123" s="1121"/>
      <c r="C123" s="787">
        <f t="shared" si="2"/>
        <v>119</v>
      </c>
      <c r="S123" s="1019" t="s">
        <v>313</v>
      </c>
      <c r="T123" s="1020"/>
      <c r="U123" s="1020"/>
      <c r="V123" s="1020"/>
      <c r="W123" s="1020"/>
      <c r="X123" s="1020"/>
      <c r="Y123" s="1020"/>
      <c r="Z123" s="1020"/>
      <c r="AA123" s="1020"/>
      <c r="AB123" s="1020"/>
      <c r="AC123" s="1020"/>
      <c r="AD123" s="1020"/>
      <c r="AE123" s="1020"/>
      <c r="AF123" s="1020"/>
      <c r="AG123" s="1021"/>
      <c r="BT123" s="159"/>
    </row>
    <row r="124" spans="2:475" s="564" customFormat="1" ht="20.100000000000001" customHeight="1" x14ac:dyDescent="0.25">
      <c r="B124" s="1122"/>
      <c r="C124" s="788">
        <f t="shared" si="2"/>
        <v>120</v>
      </c>
      <c r="G124" s="567"/>
      <c r="L124" s="565"/>
      <c r="P124" s="565"/>
      <c r="S124" s="1022"/>
      <c r="T124" s="1023"/>
      <c r="U124" s="1023"/>
      <c r="V124" s="1023"/>
      <c r="W124" s="1023"/>
      <c r="X124" s="1023"/>
      <c r="Y124" s="1023"/>
      <c r="Z124" s="1023"/>
      <c r="AA124" s="1023"/>
      <c r="AB124" s="1023"/>
      <c r="AC124" s="1023"/>
      <c r="AD124" s="1023"/>
      <c r="AE124" s="1023"/>
      <c r="AF124" s="1023"/>
      <c r="AG124" s="102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129" t="s">
        <v>306</v>
      </c>
      <c r="C125" s="787">
        <f t="shared" si="2"/>
        <v>121</v>
      </c>
      <c r="AI125" s="1040" t="s">
        <v>305</v>
      </c>
      <c r="AJ125" s="1041"/>
      <c r="AK125" s="1041"/>
      <c r="AL125" s="1041"/>
      <c r="AM125" s="1041"/>
      <c r="AN125" s="1041"/>
      <c r="AO125" s="1041"/>
      <c r="AP125" s="1041"/>
      <c r="AQ125" s="1041"/>
      <c r="AR125" s="1041"/>
      <c r="AS125" s="1041"/>
      <c r="AT125" s="1041"/>
      <c r="AU125" s="1041"/>
      <c r="AV125" s="1041"/>
      <c r="AW125" s="1041"/>
      <c r="AX125" s="1042"/>
      <c r="BT125" s="159"/>
    </row>
    <row r="126" spans="2:475" ht="20.100000000000001" customHeight="1" x14ac:dyDescent="0.25">
      <c r="B126" s="1130"/>
      <c r="C126" s="787">
        <f t="shared" si="2"/>
        <v>122</v>
      </c>
      <c r="AI126" s="1043"/>
      <c r="AJ126" s="1044"/>
      <c r="AK126" s="1044"/>
      <c r="AL126" s="1044"/>
      <c r="AM126" s="1044"/>
      <c r="AN126" s="1044"/>
      <c r="AO126" s="1044"/>
      <c r="AP126" s="1044"/>
      <c r="AQ126" s="1044"/>
      <c r="AR126" s="1044"/>
      <c r="AS126" s="1044"/>
      <c r="AT126" s="1044"/>
      <c r="AU126" s="1044"/>
      <c r="AV126" s="1044"/>
      <c r="AW126" s="1044"/>
      <c r="AX126" s="1045"/>
      <c r="BT126" s="159"/>
    </row>
    <row r="127" spans="2:475" ht="20.100000000000001" customHeight="1" x14ac:dyDescent="0.25">
      <c r="B127" s="1130"/>
      <c r="C127" s="787">
        <f t="shared" si="2"/>
        <v>123</v>
      </c>
      <c r="AI127" s="1043"/>
      <c r="AJ127" s="1044"/>
      <c r="AK127" s="1044"/>
      <c r="AL127" s="1044"/>
      <c r="AM127" s="1044"/>
      <c r="AN127" s="1044"/>
      <c r="AO127" s="1044"/>
      <c r="AP127" s="1044"/>
      <c r="AQ127" s="1044"/>
      <c r="AR127" s="1044"/>
      <c r="AS127" s="1044"/>
      <c r="AT127" s="1044"/>
      <c r="AU127" s="1044"/>
      <c r="AV127" s="1044"/>
      <c r="AW127" s="1044"/>
      <c r="AX127" s="1045"/>
      <c r="BT127" s="159"/>
    </row>
    <row r="128" spans="2:475" ht="20.100000000000001" customHeight="1" x14ac:dyDescent="0.25">
      <c r="B128" s="1130"/>
      <c r="C128" s="787">
        <f t="shared" si="2"/>
        <v>124</v>
      </c>
      <c r="AI128" s="1043"/>
      <c r="AJ128" s="1044"/>
      <c r="AK128" s="1044"/>
      <c r="AL128" s="1044"/>
      <c r="AM128" s="1044"/>
      <c r="AN128" s="1044"/>
      <c r="AO128" s="1044"/>
      <c r="AP128" s="1044"/>
      <c r="AQ128" s="1044"/>
      <c r="AR128" s="1044"/>
      <c r="AS128" s="1044"/>
      <c r="AT128" s="1044"/>
      <c r="AU128" s="1044"/>
      <c r="AV128" s="1044"/>
      <c r="AW128" s="1044"/>
      <c r="AX128" s="1045"/>
      <c r="BT128" s="159"/>
    </row>
    <row r="129" spans="2:475" ht="20.100000000000001" customHeight="1" x14ac:dyDescent="0.25">
      <c r="B129" s="1130"/>
      <c r="C129" s="787">
        <f t="shared" si="2"/>
        <v>125</v>
      </c>
      <c r="AI129" s="1046"/>
      <c r="AJ129" s="1044"/>
      <c r="AK129" s="1044"/>
      <c r="AL129" s="1044"/>
      <c r="AM129" s="1044"/>
      <c r="AN129" s="1044"/>
      <c r="AO129" s="1044"/>
      <c r="AP129" s="1044"/>
      <c r="AQ129" s="1044"/>
      <c r="AR129" s="1044"/>
      <c r="AS129" s="1044"/>
      <c r="AT129" s="1044"/>
      <c r="AU129" s="1044"/>
      <c r="AV129" s="1044"/>
      <c r="AW129" s="1044"/>
      <c r="AX129" s="1045"/>
      <c r="BT129" s="159"/>
    </row>
    <row r="130" spans="2:475" ht="20.100000000000001" customHeight="1" x14ac:dyDescent="0.25">
      <c r="B130" s="1130"/>
      <c r="C130" s="787">
        <f t="shared" si="2"/>
        <v>126</v>
      </c>
      <c r="AJ130" s="1040" t="s">
        <v>307</v>
      </c>
      <c r="AK130" s="1041"/>
      <c r="AL130" s="1041"/>
      <c r="AM130" s="1041"/>
      <c r="AN130" s="1041"/>
      <c r="AO130" s="1041"/>
      <c r="AP130" s="1041"/>
      <c r="AQ130" s="1041"/>
      <c r="AR130" s="1041"/>
      <c r="AS130" s="1041"/>
      <c r="AT130" s="1041"/>
      <c r="AU130" s="1041"/>
      <c r="AV130" s="1041"/>
      <c r="AW130" s="1041"/>
      <c r="AX130" s="1041"/>
      <c r="AY130" s="1042"/>
      <c r="BT130" s="159"/>
    </row>
    <row r="131" spans="2:475" ht="20.100000000000001" customHeight="1" x14ac:dyDescent="0.25">
      <c r="B131" s="1130"/>
      <c r="C131" s="787">
        <f t="shared" si="2"/>
        <v>127</v>
      </c>
      <c r="AJ131" s="1043"/>
      <c r="AK131" s="1044"/>
      <c r="AL131" s="1044"/>
      <c r="AM131" s="1044"/>
      <c r="AN131" s="1044"/>
      <c r="AO131" s="1044"/>
      <c r="AP131" s="1044"/>
      <c r="AQ131" s="1044"/>
      <c r="AR131" s="1044"/>
      <c r="AS131" s="1044"/>
      <c r="AT131" s="1044"/>
      <c r="AU131" s="1044"/>
      <c r="AV131" s="1044"/>
      <c r="AW131" s="1044"/>
      <c r="AX131" s="1044"/>
      <c r="AY131" s="1045"/>
      <c r="BT131" s="159"/>
    </row>
    <row r="132" spans="2:475" ht="20.100000000000001" customHeight="1" x14ac:dyDescent="0.25">
      <c r="B132" s="1130"/>
      <c r="C132" s="787">
        <f t="shared" si="2"/>
        <v>128</v>
      </c>
      <c r="AJ132" s="1043"/>
      <c r="AK132" s="1044"/>
      <c r="AL132" s="1044"/>
      <c r="AM132" s="1044"/>
      <c r="AN132" s="1044"/>
      <c r="AO132" s="1044"/>
      <c r="AP132" s="1044"/>
      <c r="AQ132" s="1044"/>
      <c r="AR132" s="1044"/>
      <c r="AS132" s="1044"/>
      <c r="AT132" s="1044"/>
      <c r="AU132" s="1044"/>
      <c r="AV132" s="1044"/>
      <c r="AW132" s="1044"/>
      <c r="AX132" s="1044"/>
      <c r="AY132" s="1045"/>
      <c r="BT132" s="159"/>
    </row>
    <row r="133" spans="2:475" ht="20.100000000000001" customHeight="1" x14ac:dyDescent="0.25">
      <c r="B133" s="1130"/>
      <c r="C133" s="787">
        <f t="shared" si="2"/>
        <v>129</v>
      </c>
      <c r="AJ133" s="1043"/>
      <c r="AK133" s="1044"/>
      <c r="AL133" s="1044"/>
      <c r="AM133" s="1044"/>
      <c r="AN133" s="1044"/>
      <c r="AO133" s="1044"/>
      <c r="AP133" s="1044"/>
      <c r="AQ133" s="1050"/>
      <c r="AR133" s="1050"/>
      <c r="AS133" s="1050"/>
      <c r="AT133" s="1050"/>
      <c r="AU133" s="1050"/>
      <c r="AV133" s="1050"/>
      <c r="AW133" s="1050"/>
      <c r="AX133" s="1050"/>
      <c r="AY133" s="1051"/>
      <c r="BT133" s="159"/>
    </row>
    <row r="134" spans="2:475" ht="20.100000000000001" customHeight="1" x14ac:dyDescent="0.25">
      <c r="B134" s="1130"/>
      <c r="C134" s="787">
        <f t="shared" si="2"/>
        <v>130</v>
      </c>
      <c r="AG134" s="1052" t="s">
        <v>308</v>
      </c>
      <c r="AH134" s="1053"/>
      <c r="AI134" s="1053"/>
      <c r="AJ134" s="1053"/>
      <c r="AK134" s="1053"/>
      <c r="AL134" s="1053"/>
      <c r="AM134" s="1053"/>
      <c r="AN134" s="1053"/>
      <c r="AO134" s="1053"/>
      <c r="AP134" s="1054"/>
      <c r="BT134" s="159"/>
    </row>
    <row r="135" spans="2:475" ht="20.100000000000001" customHeight="1" x14ac:dyDescent="0.25">
      <c r="B135" s="1130"/>
      <c r="C135" s="787">
        <f t="shared" si="2"/>
        <v>131</v>
      </c>
      <c r="AG135" s="1055"/>
      <c r="AH135" s="1056"/>
      <c r="AI135" s="1056"/>
      <c r="AJ135" s="1056"/>
      <c r="AK135" s="1056"/>
      <c r="AL135" s="1056"/>
      <c r="AM135" s="1056"/>
      <c r="AN135" s="1056"/>
      <c r="AO135" s="1056"/>
      <c r="AP135" s="1057"/>
      <c r="BT135" s="159"/>
    </row>
    <row r="136" spans="2:475" ht="20.100000000000001" customHeight="1" x14ac:dyDescent="0.25">
      <c r="B136" s="1130"/>
      <c r="C136" s="787">
        <f t="shared" si="2"/>
        <v>132</v>
      </c>
      <c r="AG136" s="1058"/>
      <c r="AH136" s="1059"/>
      <c r="AI136" s="1059"/>
      <c r="AJ136" s="1059"/>
      <c r="AK136" s="1059"/>
      <c r="AL136" s="1059"/>
      <c r="AM136" s="1056"/>
      <c r="AN136" s="1056"/>
      <c r="AO136" s="1056"/>
      <c r="AP136" s="1057"/>
      <c r="BT136" s="159"/>
    </row>
    <row r="137" spans="2:475" ht="20.100000000000001" customHeight="1" x14ac:dyDescent="0.25">
      <c r="B137" s="1130"/>
      <c r="C137" s="787">
        <f t="shared" si="2"/>
        <v>133</v>
      </c>
      <c r="AM137" s="1052" t="s">
        <v>308</v>
      </c>
      <c r="AN137" s="1053"/>
      <c r="AO137" s="1053"/>
      <c r="AP137" s="1053"/>
      <c r="AQ137" s="1053"/>
      <c r="AR137" s="1053"/>
      <c r="AS137" s="1053"/>
      <c r="AT137" s="1053"/>
      <c r="AU137" s="1054"/>
      <c r="BT137" s="159"/>
    </row>
    <row r="138" spans="2:475" ht="20.100000000000001" customHeight="1" x14ac:dyDescent="0.25">
      <c r="B138" s="1130"/>
      <c r="C138" s="787">
        <f t="shared" si="2"/>
        <v>134</v>
      </c>
      <c r="AM138" s="1055"/>
      <c r="AN138" s="1056"/>
      <c r="AO138" s="1056"/>
      <c r="AP138" s="1056"/>
      <c r="AQ138" s="1056"/>
      <c r="AR138" s="1056"/>
      <c r="AS138" s="1056"/>
      <c r="AT138" s="1056"/>
      <c r="AU138" s="1057"/>
      <c r="BT138" s="159"/>
    </row>
    <row r="139" spans="2:475" ht="20.100000000000001" customHeight="1" x14ac:dyDescent="0.25">
      <c r="B139" s="1130"/>
      <c r="C139" s="787">
        <f t="shared" si="2"/>
        <v>135</v>
      </c>
      <c r="AM139" s="1055"/>
      <c r="AN139" s="1056"/>
      <c r="AO139" s="1059"/>
      <c r="AP139" s="1059"/>
      <c r="AQ139" s="1059"/>
      <c r="AR139" s="1059"/>
      <c r="AS139" s="1059"/>
      <c r="AT139" s="1059"/>
      <c r="AU139" s="1060"/>
      <c r="BT139" s="159"/>
    </row>
    <row r="140" spans="2:475" ht="20.100000000000001" customHeight="1" x14ac:dyDescent="0.25">
      <c r="B140" s="1130"/>
      <c r="C140" s="787">
        <f t="shared" si="2"/>
        <v>136</v>
      </c>
      <c r="W140" s="1040" t="s">
        <v>309</v>
      </c>
      <c r="X140" s="1041"/>
      <c r="Y140" s="1041"/>
      <c r="Z140" s="1041"/>
      <c r="AA140" s="1041"/>
      <c r="AB140" s="1041"/>
      <c r="AC140" s="1041"/>
      <c r="AD140" s="1041"/>
      <c r="AE140" s="1041"/>
      <c r="AF140" s="1041"/>
      <c r="AG140" s="1041"/>
      <c r="AH140" s="1041"/>
      <c r="AI140" s="1041"/>
      <c r="AJ140" s="1041"/>
      <c r="AK140" s="1041"/>
      <c r="AL140" s="1041"/>
      <c r="AM140" s="1041"/>
      <c r="AN140" s="1042"/>
      <c r="BT140" s="159"/>
    </row>
    <row r="141" spans="2:475" ht="20.100000000000001" customHeight="1" x14ac:dyDescent="0.25">
      <c r="B141" s="1130"/>
      <c r="C141" s="787">
        <f t="shared" si="2"/>
        <v>137</v>
      </c>
      <c r="W141" s="1043"/>
      <c r="X141" s="1044"/>
      <c r="Y141" s="1044"/>
      <c r="Z141" s="1044"/>
      <c r="AA141" s="1044"/>
      <c r="AB141" s="1044"/>
      <c r="AC141" s="1044"/>
      <c r="AD141" s="1044"/>
      <c r="AE141" s="1044"/>
      <c r="AF141" s="1044"/>
      <c r="AG141" s="1044"/>
      <c r="AH141" s="1044"/>
      <c r="AI141" s="1044"/>
      <c r="AJ141" s="1044"/>
      <c r="AK141" s="1044"/>
      <c r="AL141" s="1044"/>
      <c r="AM141" s="1044"/>
      <c r="AN141" s="1045"/>
      <c r="BT141" s="159"/>
    </row>
    <row r="142" spans="2:475" ht="20.100000000000001" customHeight="1" x14ac:dyDescent="0.25">
      <c r="B142" s="1130"/>
      <c r="C142" s="787">
        <f t="shared" si="2"/>
        <v>138</v>
      </c>
      <c r="W142" s="1043"/>
      <c r="X142" s="1044"/>
      <c r="Y142" s="1044"/>
      <c r="Z142" s="1044"/>
      <c r="AA142" s="1044"/>
      <c r="AB142" s="1044"/>
      <c r="AC142" s="1044"/>
      <c r="AD142" s="1044"/>
      <c r="AE142" s="1044"/>
      <c r="AF142" s="1044"/>
      <c r="AG142" s="1044"/>
      <c r="AH142" s="1044"/>
      <c r="AI142" s="1044"/>
      <c r="AJ142" s="1044"/>
      <c r="AK142" s="1044"/>
      <c r="AL142" s="1044"/>
      <c r="AM142" s="1044"/>
      <c r="AN142" s="1045"/>
      <c r="BT142" s="159"/>
    </row>
    <row r="143" spans="2:475" ht="20.100000000000001" customHeight="1" x14ac:dyDescent="0.25">
      <c r="B143" s="1130"/>
      <c r="C143" s="787">
        <f t="shared" si="2"/>
        <v>139</v>
      </c>
      <c r="W143" s="1043"/>
      <c r="X143" s="1044"/>
      <c r="Y143" s="1044"/>
      <c r="Z143" s="1044"/>
      <c r="AA143" s="1044"/>
      <c r="AB143" s="1044"/>
      <c r="AC143" s="1044"/>
      <c r="AD143" s="1044"/>
      <c r="AE143" s="1044"/>
      <c r="AF143" s="1044"/>
      <c r="AG143" s="1044"/>
      <c r="AH143" s="1044"/>
      <c r="AI143" s="1044"/>
      <c r="AJ143" s="1044"/>
      <c r="AK143" s="1044"/>
      <c r="AL143" s="1044"/>
      <c r="AM143" s="1044"/>
      <c r="AN143" s="1045"/>
      <c r="BT143" s="159"/>
    </row>
    <row r="144" spans="2:475" s="564" customFormat="1" ht="20.100000000000001" customHeight="1" x14ac:dyDescent="0.25">
      <c r="B144" s="1131"/>
      <c r="C144" s="788">
        <f t="shared" si="2"/>
        <v>140</v>
      </c>
      <c r="G144" s="567"/>
      <c r="L144" s="565"/>
      <c r="P144" s="565"/>
      <c r="T144" s="565"/>
      <c r="W144" s="1046"/>
      <c r="X144" s="1050"/>
      <c r="Y144" s="1050"/>
      <c r="Z144" s="1050"/>
      <c r="AA144" s="1050"/>
      <c r="AB144" s="1050"/>
      <c r="AC144" s="1050"/>
      <c r="AD144" s="1050"/>
      <c r="AE144" s="1050"/>
      <c r="AF144" s="1050"/>
      <c r="AG144" s="1050"/>
      <c r="AH144" s="1050"/>
      <c r="AI144" s="1050"/>
      <c r="AJ144" s="1050"/>
      <c r="AK144" s="1050"/>
      <c r="AL144" s="1050"/>
      <c r="AM144" s="1050"/>
      <c r="AN144" s="105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126" t="s">
        <v>310</v>
      </c>
      <c r="C145" s="787">
        <f t="shared" si="2"/>
        <v>141</v>
      </c>
      <c r="AH145" s="1025" t="s">
        <v>314</v>
      </c>
      <c r="AI145" s="1026"/>
      <c r="AJ145" s="1026"/>
      <c r="AK145" s="1026"/>
      <c r="AL145" s="1026"/>
      <c r="AM145" s="1026"/>
      <c r="AN145" s="1026"/>
      <c r="AO145" s="1026"/>
      <c r="AP145" s="1026"/>
      <c r="AQ145" s="1026"/>
      <c r="AR145" s="1026"/>
      <c r="AS145" s="1026"/>
      <c r="AT145" s="1026"/>
      <c r="AU145" s="1026"/>
      <c r="AV145" s="1027"/>
      <c r="BT145" s="159"/>
    </row>
    <row r="146" spans="2:72" ht="20.100000000000001" customHeight="1" x14ac:dyDescent="0.25">
      <c r="B146" s="1127"/>
      <c r="C146" s="787">
        <f t="shared" si="2"/>
        <v>142</v>
      </c>
      <c r="AH146" s="1028"/>
      <c r="AI146" s="1029"/>
      <c r="AJ146" s="1029"/>
      <c r="AK146" s="1029"/>
      <c r="AL146" s="1029"/>
      <c r="AM146" s="1029"/>
      <c r="AN146" s="1029"/>
      <c r="AO146" s="1029"/>
      <c r="AP146" s="1029"/>
      <c r="AQ146" s="1029"/>
      <c r="AR146" s="1029"/>
      <c r="AS146" s="1029"/>
      <c r="AT146" s="1029"/>
      <c r="AU146" s="1029"/>
      <c r="AV146" s="1030"/>
      <c r="BT146" s="159"/>
    </row>
    <row r="147" spans="2:72" ht="20.100000000000001" customHeight="1" x14ac:dyDescent="0.25">
      <c r="B147" s="1127"/>
      <c r="C147" s="787">
        <f t="shared" si="2"/>
        <v>143</v>
      </c>
      <c r="AH147" s="1028"/>
      <c r="AI147" s="1029"/>
      <c r="AJ147" s="1029"/>
      <c r="AK147" s="1029"/>
      <c r="AL147" s="1029"/>
      <c r="AM147" s="1029"/>
      <c r="AN147" s="1029"/>
      <c r="AO147" s="1029"/>
      <c r="AP147" s="1029"/>
      <c r="AQ147" s="1029"/>
      <c r="AR147" s="1029"/>
      <c r="AS147" s="1029"/>
      <c r="AT147" s="1029"/>
      <c r="AU147" s="1029"/>
      <c r="AV147" s="1030"/>
      <c r="BT147" s="159"/>
    </row>
    <row r="148" spans="2:72" ht="20.100000000000001" customHeight="1" x14ac:dyDescent="0.25">
      <c r="B148" s="1127"/>
      <c r="C148" s="787">
        <f t="shared" si="2"/>
        <v>144</v>
      </c>
      <c r="AH148" s="1031"/>
      <c r="AI148" s="1032"/>
      <c r="AJ148" s="1032"/>
      <c r="AK148" s="1032"/>
      <c r="AL148" s="1032"/>
      <c r="AM148" s="1032"/>
      <c r="AN148" s="1032"/>
      <c r="AO148" s="1032"/>
      <c r="AP148" s="1032"/>
      <c r="AQ148" s="1032"/>
      <c r="AR148" s="1032"/>
      <c r="AS148" s="1032"/>
      <c r="AT148" s="1032"/>
      <c r="AU148" s="1032"/>
      <c r="AV148" s="1033"/>
      <c r="BT148" s="159"/>
    </row>
    <row r="149" spans="2:72" ht="20.100000000000001" customHeight="1" x14ac:dyDescent="0.25">
      <c r="B149" s="1127"/>
      <c r="C149" s="787">
        <f t="shared" si="2"/>
        <v>145</v>
      </c>
      <c r="AK149" s="1086" t="s">
        <v>320</v>
      </c>
      <c r="AL149" s="1087"/>
      <c r="AM149" s="1087"/>
      <c r="AN149" s="1087"/>
      <c r="AO149" s="1087"/>
      <c r="AP149" s="1087"/>
      <c r="AQ149" s="1087"/>
      <c r="AR149" s="1087"/>
      <c r="AS149" s="1088"/>
      <c r="BT149" s="159"/>
    </row>
    <row r="150" spans="2:72" ht="20.100000000000001" customHeight="1" x14ac:dyDescent="0.25">
      <c r="B150" s="1127"/>
      <c r="C150" s="787">
        <f t="shared" si="2"/>
        <v>146</v>
      </c>
      <c r="AK150" s="1089"/>
      <c r="AL150" s="1090"/>
      <c r="AM150" s="1090"/>
      <c r="AN150" s="1090"/>
      <c r="AO150" s="1090"/>
      <c r="AP150" s="1090"/>
      <c r="AQ150" s="1090"/>
      <c r="AR150" s="1090"/>
      <c r="AS150" s="1091"/>
      <c r="BT150" s="159"/>
    </row>
    <row r="151" spans="2:72" ht="20.100000000000001" customHeight="1" x14ac:dyDescent="0.25">
      <c r="B151" s="1127"/>
      <c r="C151" s="787">
        <f t="shared" si="2"/>
        <v>147</v>
      </c>
      <c r="AK151" s="581"/>
      <c r="AL151" s="581"/>
      <c r="AM151" s="582"/>
      <c r="AN151" s="581"/>
      <c r="AO151" s="581"/>
      <c r="AP151" s="1092" t="s">
        <v>321</v>
      </c>
      <c r="AQ151" s="1093"/>
      <c r="AR151" s="1093"/>
      <c r="AS151" s="1093"/>
      <c r="AT151" s="1093"/>
      <c r="AU151" s="1093"/>
      <c r="AV151" s="1093"/>
      <c r="AW151" s="1094"/>
      <c r="BT151" s="159"/>
    </row>
    <row r="152" spans="2:72" ht="20.100000000000001" customHeight="1" x14ac:dyDescent="0.25">
      <c r="B152" s="1127"/>
      <c r="C152" s="787">
        <f t="shared" si="2"/>
        <v>148</v>
      </c>
      <c r="T152" s="1095" t="s">
        <v>322</v>
      </c>
      <c r="U152" s="1096"/>
      <c r="V152" s="1096"/>
      <c r="W152" s="1096"/>
      <c r="X152" s="1097"/>
      <c r="Y152" s="1097"/>
      <c r="Z152" s="1097"/>
      <c r="AA152" s="1097"/>
      <c r="AB152" s="1097"/>
      <c r="AC152" s="1097"/>
      <c r="AD152" s="1097"/>
      <c r="AE152" s="1097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127"/>
      <c r="C153" s="787">
        <f t="shared" si="2"/>
        <v>149</v>
      </c>
      <c r="X153" s="1098" t="s">
        <v>322</v>
      </c>
      <c r="Y153" s="1099"/>
      <c r="Z153" s="1099"/>
      <c r="AA153" s="1099"/>
      <c r="AB153" s="1099"/>
      <c r="AC153" s="1099"/>
      <c r="AD153" s="1099"/>
      <c r="AE153" s="1099"/>
      <c r="AF153" s="1099"/>
      <c r="AG153" s="1099"/>
      <c r="AH153" s="1096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127"/>
      <c r="C154" s="787">
        <f t="shared" si="2"/>
        <v>150</v>
      </c>
      <c r="AM154" s="1098" t="s">
        <v>322</v>
      </c>
      <c r="AN154" s="1099"/>
      <c r="AO154" s="1099"/>
      <c r="AP154" s="1100"/>
      <c r="AQ154" s="1100"/>
      <c r="AR154" s="1100"/>
      <c r="AS154" s="1100"/>
      <c r="AT154" s="1100"/>
      <c r="AU154" s="1097"/>
      <c r="AV154" s="583"/>
      <c r="AW154" s="583"/>
      <c r="BT154" s="159"/>
    </row>
    <row r="155" spans="2:72" ht="20.100000000000001" customHeight="1" x14ac:dyDescent="0.25">
      <c r="B155" s="1127"/>
      <c r="C155" s="787">
        <f t="shared" si="2"/>
        <v>151</v>
      </c>
      <c r="AP155" s="1098" t="s">
        <v>322</v>
      </c>
      <c r="AQ155" s="1099"/>
      <c r="AR155" s="1099"/>
      <c r="AS155" s="1099"/>
      <c r="AT155" s="1099"/>
      <c r="AU155" s="1099"/>
      <c r="AV155" s="1099"/>
      <c r="AW155" s="1099"/>
      <c r="AX155" s="1099"/>
      <c r="AY155" s="1096"/>
      <c r="BT155" s="159"/>
    </row>
    <row r="156" spans="2:72" ht="20.100000000000001" customHeight="1" x14ac:dyDescent="0.25">
      <c r="B156" s="1127"/>
      <c r="C156" s="787">
        <f t="shared" si="2"/>
        <v>152</v>
      </c>
      <c r="Y156" s="1034" t="s">
        <v>315</v>
      </c>
      <c r="Z156" s="1021"/>
      <c r="AA156" s="1021"/>
      <c r="AB156" s="1021"/>
      <c r="AC156" s="1021"/>
      <c r="AD156" s="1021"/>
      <c r="AE156" s="1021"/>
      <c r="AF156" s="1021"/>
      <c r="AG156" s="1021"/>
      <c r="AH156" s="1021"/>
      <c r="AI156" s="1021"/>
      <c r="AJ156" s="1021"/>
      <c r="AK156" s="1021"/>
      <c r="BT156" s="159"/>
    </row>
    <row r="157" spans="2:72" ht="20.100000000000001" customHeight="1" x14ac:dyDescent="0.25">
      <c r="B157" s="1127"/>
      <c r="C157" s="787">
        <f t="shared" si="2"/>
        <v>153</v>
      </c>
      <c r="Y157" s="1035"/>
      <c r="Z157" s="1036"/>
      <c r="AA157" s="1036"/>
      <c r="AB157" s="1036"/>
      <c r="AC157" s="1036"/>
      <c r="AD157" s="1036"/>
      <c r="AE157" s="1036"/>
      <c r="AF157" s="1036"/>
      <c r="AG157" s="1036"/>
      <c r="AH157" s="1036"/>
      <c r="AI157" s="1036"/>
      <c r="AJ157" s="1036"/>
      <c r="AK157" s="1036"/>
      <c r="BT157" s="159"/>
    </row>
    <row r="158" spans="2:72" ht="20.100000000000001" customHeight="1" x14ac:dyDescent="0.25">
      <c r="B158" s="1127"/>
      <c r="C158" s="787">
        <f t="shared" si="2"/>
        <v>154</v>
      </c>
      <c r="Y158" s="1037"/>
      <c r="Z158" s="1024"/>
      <c r="AA158" s="1024"/>
      <c r="AB158" s="1024"/>
      <c r="AC158" s="1024"/>
      <c r="AD158" s="1024"/>
      <c r="AE158" s="1024"/>
      <c r="AF158" s="1024"/>
      <c r="AG158" s="1024"/>
      <c r="AH158" s="1024"/>
      <c r="AI158" s="1024"/>
      <c r="AJ158" s="1024"/>
      <c r="AK158" s="1024"/>
      <c r="BT158" s="159"/>
    </row>
    <row r="159" spans="2:72" ht="20.100000000000001" customHeight="1" x14ac:dyDescent="0.25">
      <c r="B159" s="1127"/>
      <c r="C159" s="787">
        <f t="shared" si="2"/>
        <v>155</v>
      </c>
      <c r="AD159" s="1038" t="s">
        <v>316</v>
      </c>
      <c r="AE159" s="1039"/>
      <c r="AF159" s="1039"/>
      <c r="AG159" s="1039"/>
      <c r="AH159" s="1039"/>
      <c r="AI159" s="1039"/>
      <c r="AJ159" s="1039"/>
      <c r="AK159" s="1039"/>
      <c r="AL159" s="1020"/>
      <c r="AM159" s="1020"/>
      <c r="AN159" s="1020"/>
      <c r="AO159" s="1020"/>
      <c r="AP159" s="1021"/>
      <c r="BT159" s="159"/>
    </row>
    <row r="160" spans="2:72" ht="20.100000000000001" customHeight="1" x14ac:dyDescent="0.25">
      <c r="B160" s="1127"/>
      <c r="C160" s="787">
        <f t="shared" si="2"/>
        <v>156</v>
      </c>
      <c r="AD160" s="1038"/>
      <c r="AE160" s="1039"/>
      <c r="AF160" s="1039"/>
      <c r="AG160" s="1039"/>
      <c r="AH160" s="1039"/>
      <c r="AI160" s="1039"/>
      <c r="AJ160" s="1039"/>
      <c r="AK160" s="1039"/>
      <c r="AL160" s="1039"/>
      <c r="AM160" s="1039"/>
      <c r="AN160" s="1039"/>
      <c r="AO160" s="1039"/>
      <c r="AP160" s="1036"/>
      <c r="BT160" s="159"/>
    </row>
    <row r="161" spans="2:475" ht="20.100000000000001" customHeight="1" x14ac:dyDescent="0.25">
      <c r="B161" s="1127"/>
      <c r="C161" s="787">
        <f t="shared" si="2"/>
        <v>157</v>
      </c>
      <c r="AD161" s="1022"/>
      <c r="AE161" s="1023"/>
      <c r="AF161" s="1023"/>
      <c r="AG161" s="1023"/>
      <c r="AH161" s="1023"/>
      <c r="AI161" s="1023"/>
      <c r="AJ161" s="1023"/>
      <c r="AK161" s="1023"/>
      <c r="AL161" s="1023"/>
      <c r="AM161" s="1023"/>
      <c r="AN161" s="1023"/>
      <c r="AO161" s="1023"/>
      <c r="AP161" s="1024"/>
      <c r="BT161" s="159"/>
    </row>
    <row r="162" spans="2:475" ht="20.100000000000001" customHeight="1" x14ac:dyDescent="0.25">
      <c r="B162" s="1127"/>
      <c r="C162" s="787">
        <f t="shared" ref="C162:C164" si="3">C161+1</f>
        <v>158</v>
      </c>
      <c r="AI162" s="1038" t="s">
        <v>317</v>
      </c>
      <c r="AJ162" s="1039"/>
      <c r="AK162" s="1039"/>
      <c r="AL162" s="1039"/>
      <c r="AM162" s="1039"/>
      <c r="AN162" s="1039"/>
      <c r="AO162" s="1039"/>
      <c r="AP162" s="1039"/>
      <c r="AQ162" s="1020"/>
      <c r="AR162" s="1020"/>
      <c r="AS162" s="1020"/>
      <c r="AT162" s="1020"/>
      <c r="AU162" s="1021"/>
      <c r="BT162" s="159"/>
    </row>
    <row r="163" spans="2:475" ht="20.100000000000001" customHeight="1" x14ac:dyDescent="0.25">
      <c r="B163" s="1127"/>
      <c r="C163" s="787">
        <f t="shared" si="3"/>
        <v>159</v>
      </c>
      <c r="AI163" s="1038"/>
      <c r="AJ163" s="1039"/>
      <c r="AK163" s="1039"/>
      <c r="AL163" s="1039"/>
      <c r="AM163" s="1039"/>
      <c r="AN163" s="1039"/>
      <c r="AO163" s="1039"/>
      <c r="AP163" s="1039"/>
      <c r="AQ163" s="1039"/>
      <c r="AR163" s="1039"/>
      <c r="AS163" s="1039"/>
      <c r="AT163" s="1039"/>
      <c r="AU163" s="1036"/>
      <c r="BT163" s="159"/>
    </row>
    <row r="164" spans="2:475" s="564" customFormat="1" ht="20.100000000000001" customHeight="1" x14ac:dyDescent="0.25">
      <c r="B164" s="1128"/>
      <c r="C164" s="788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022"/>
      <c r="AJ164" s="1023"/>
      <c r="AK164" s="1023"/>
      <c r="AL164" s="1023"/>
      <c r="AM164" s="1023"/>
      <c r="AN164" s="1023"/>
      <c r="AO164" s="1023"/>
      <c r="AP164" s="1023"/>
      <c r="AQ164" s="1023"/>
      <c r="AR164" s="1023"/>
      <c r="AS164" s="1023"/>
      <c r="AT164" s="1023"/>
      <c r="AU164" s="102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AZ3:BC3"/>
    <mergeCell ref="DD3:DG3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</mergeCells>
  <conditionalFormatting sqref="AJ45">
    <cfRule type="cellIs" dxfId="46" priority="8" operator="equal">
      <formula>"C"</formula>
    </cfRule>
    <cfRule type="cellIs" dxfId="45" priority="9" operator="equal">
      <formula>"R"</formula>
    </cfRule>
  </conditionalFormatting>
  <conditionalFormatting sqref="AJ45">
    <cfRule type="cellIs" dxfId="44" priority="7" operator="equal">
      <formula>"P"</formula>
    </cfRule>
  </conditionalFormatting>
  <conditionalFormatting sqref="OJ5">
    <cfRule type="cellIs" dxfId="43" priority="2" operator="equal">
      <formula>"C"</formula>
    </cfRule>
    <cfRule type="cellIs" dxfId="42" priority="3" operator="equal">
      <formula>"R"</formula>
    </cfRule>
  </conditionalFormatting>
  <conditionalFormatting sqref="OJ5">
    <cfRule type="cellIs" dxfId="4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35" t="s">
        <v>132</v>
      </c>
      <c r="F3" s="936"/>
      <c r="G3" s="172"/>
      <c r="H3" s="172"/>
      <c r="I3" s="172"/>
      <c r="J3" s="172"/>
      <c r="K3" s="172"/>
      <c r="L3" s="172"/>
      <c r="M3" s="172"/>
      <c r="N3" s="172"/>
      <c r="O3" s="199"/>
      <c r="P3" s="1132" t="s">
        <v>207</v>
      </c>
      <c r="Q3" s="1132"/>
      <c r="R3" s="1132"/>
      <c r="S3" s="1132"/>
      <c r="T3" s="1132"/>
      <c r="U3" s="1132"/>
      <c r="V3" s="1132"/>
      <c r="W3" s="1132"/>
      <c r="X3" s="1132"/>
      <c r="Y3" s="1132"/>
      <c r="Z3" s="1132"/>
      <c r="AA3" s="1132"/>
      <c r="AB3" s="1132"/>
      <c r="AC3" s="1132"/>
      <c r="AD3" s="1132"/>
      <c r="AE3" s="1132"/>
      <c r="AF3" s="1132"/>
      <c r="AG3" s="960"/>
      <c r="AH3" s="960"/>
      <c r="AI3" s="960"/>
      <c r="AJ3" s="960"/>
      <c r="AK3" s="960"/>
      <c r="AL3" s="960"/>
      <c r="AM3" s="960"/>
      <c r="AN3" s="960"/>
      <c r="AO3" s="960"/>
      <c r="AP3" s="960"/>
      <c r="AQ3" s="960"/>
      <c r="AR3" s="960"/>
      <c r="AS3" s="960"/>
      <c r="AT3" s="960"/>
      <c r="AU3" s="960"/>
      <c r="AV3" s="960"/>
      <c r="AW3" s="960"/>
      <c r="AX3" s="960"/>
      <c r="AY3" s="960"/>
      <c r="AZ3" s="960"/>
      <c r="BA3" s="960"/>
      <c r="BB3" s="960"/>
      <c r="BC3" s="960"/>
      <c r="BD3" s="960"/>
      <c r="BE3" s="960"/>
      <c r="BF3" s="960"/>
      <c r="BG3" s="960"/>
      <c r="BH3" s="960"/>
      <c r="BI3" s="960"/>
      <c r="BJ3" s="960"/>
      <c r="BK3" s="960"/>
      <c r="BL3" s="960"/>
      <c r="BM3" s="960"/>
      <c r="BN3" s="960"/>
      <c r="BO3" s="960"/>
      <c r="BP3" s="960"/>
      <c r="BQ3" s="960"/>
      <c r="BR3" s="960"/>
      <c r="BS3" s="960"/>
      <c r="BT3" s="960"/>
      <c r="BU3" s="960"/>
      <c r="BV3" s="960"/>
      <c r="BW3" s="960"/>
      <c r="BX3" s="960"/>
      <c r="BY3" s="960"/>
      <c r="BZ3" s="960"/>
      <c r="CA3" s="960"/>
      <c r="CB3" s="960"/>
      <c r="CC3" s="960"/>
      <c r="CD3" s="960"/>
      <c r="CE3" s="960"/>
      <c r="CF3" s="96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30" t="s">
        <v>9</v>
      </c>
      <c r="Q4" s="930"/>
      <c r="R4" s="930"/>
      <c r="S4" s="930"/>
      <c r="T4" s="930" t="s">
        <v>10</v>
      </c>
      <c r="U4" s="930"/>
      <c r="V4" s="930"/>
      <c r="W4" s="930"/>
      <c r="X4" s="930"/>
      <c r="Y4" s="931" t="s">
        <v>11</v>
      </c>
      <c r="Z4" s="932"/>
      <c r="AA4" s="932"/>
      <c r="AB4" s="933"/>
      <c r="AC4" s="931" t="s">
        <v>12</v>
      </c>
      <c r="AD4" s="932"/>
      <c r="AE4" s="932"/>
      <c r="AF4" s="961"/>
      <c r="AG4" s="933" t="s">
        <v>1</v>
      </c>
      <c r="AH4" s="930"/>
      <c r="AI4" s="930"/>
      <c r="AJ4" s="930"/>
      <c r="AK4" s="930"/>
      <c r="AL4" s="931" t="s">
        <v>2</v>
      </c>
      <c r="AM4" s="932"/>
      <c r="AN4" s="932"/>
      <c r="AO4" s="933"/>
      <c r="AP4" s="931" t="s">
        <v>3</v>
      </c>
      <c r="AQ4" s="932"/>
      <c r="AR4" s="932"/>
      <c r="AS4" s="933"/>
      <c r="AT4" s="931" t="s">
        <v>4</v>
      </c>
      <c r="AU4" s="932"/>
      <c r="AV4" s="932"/>
      <c r="AW4" s="932"/>
      <c r="AX4" s="933"/>
      <c r="AY4" s="931" t="s">
        <v>5</v>
      </c>
      <c r="AZ4" s="932"/>
      <c r="BA4" s="932"/>
      <c r="BB4" s="933"/>
      <c r="BC4" s="931" t="s">
        <v>6</v>
      </c>
      <c r="BD4" s="932"/>
      <c r="BE4" s="932"/>
      <c r="BF4" s="932"/>
      <c r="BG4" s="933"/>
      <c r="BH4" s="931" t="s">
        <v>7</v>
      </c>
      <c r="BI4" s="932"/>
      <c r="BJ4" s="932"/>
      <c r="BK4" s="933"/>
      <c r="BL4" s="931" t="s">
        <v>8</v>
      </c>
      <c r="BM4" s="932"/>
      <c r="BN4" s="932"/>
      <c r="BO4" s="933"/>
      <c r="BP4" s="930" t="s">
        <v>9</v>
      </c>
      <c r="BQ4" s="930"/>
      <c r="BR4" s="930"/>
      <c r="BS4" s="930"/>
      <c r="BT4" s="930" t="s">
        <v>10</v>
      </c>
      <c r="BU4" s="930"/>
      <c r="BV4" s="930"/>
      <c r="BW4" s="930"/>
      <c r="BX4" s="930"/>
      <c r="BY4" s="930" t="s">
        <v>11</v>
      </c>
      <c r="BZ4" s="930"/>
      <c r="CA4" s="930"/>
      <c r="CB4" s="930"/>
      <c r="CC4" s="931" t="s">
        <v>12</v>
      </c>
      <c r="CD4" s="932"/>
      <c r="CE4" s="932"/>
      <c r="CF4" s="933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40" priority="107" operator="equal">
      <formula>"C"</formula>
    </cfRule>
    <cfRule type="cellIs" dxfId="39" priority="108" operator="equal">
      <formula>"R"</formula>
    </cfRule>
  </conditionalFormatting>
  <conditionalFormatting sqref="BH6:CF6 AG7:CF7">
    <cfRule type="cellIs" dxfId="38" priority="105" operator="equal">
      <formula>"C"</formula>
    </cfRule>
    <cfRule type="cellIs" dxfId="37" priority="106" operator="equal">
      <formula>"R"</formula>
    </cfRule>
  </conditionalFormatting>
  <conditionalFormatting sqref="AG8:CF10">
    <cfRule type="cellIs" dxfId="36" priority="103" operator="equal">
      <formula>"C"</formula>
    </cfRule>
    <cfRule type="cellIs" dxfId="35" priority="104" operator="equal">
      <formula>"R"</formula>
    </cfRule>
  </conditionalFormatting>
  <conditionalFormatting sqref="BG11:CF11 BT12:CF13 BJ14:CF19 P12:BD13 P14:AZ19 P11:AU12 P6:CF10 P20:CF49">
    <cfRule type="cellIs" dxfId="34" priority="13" operator="equal">
      <formula>"S"</formula>
    </cfRule>
  </conditionalFormatting>
  <conditionalFormatting sqref="T9:AA9 B6:F6">
    <cfRule type="cellIs" dxfId="33" priority="100" operator="equal">
      <formula>"C"</formula>
    </cfRule>
    <cfRule type="cellIs" dxfId="32" priority="101" operator="equal">
      <formula>"R"</formula>
    </cfRule>
  </conditionalFormatting>
  <conditionalFormatting sqref="BB12:BB13">
    <cfRule type="cellIs" dxfId="31" priority="78" operator="equal">
      <formula>"C"</formula>
    </cfRule>
    <cfRule type="cellIs" dxfId="30" priority="79" operator="equal">
      <formula>"R"</formula>
    </cfRule>
  </conditionalFormatting>
  <conditionalFormatting sqref="BB12:BB13">
    <cfRule type="cellIs" dxfId="29" priority="76" operator="equal">
      <formula>"C"</formula>
    </cfRule>
    <cfRule type="cellIs" dxfId="28" priority="77" operator="equal">
      <formula>"R"</formula>
    </cfRule>
  </conditionalFormatting>
  <conditionalFormatting sqref="AA1:AB1">
    <cfRule type="cellIs" dxfId="27" priority="19" operator="equal">
      <formula>"C"</formula>
    </cfRule>
    <cfRule type="cellIs" dxfId="2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25" priority="18" operator="equal">
      <formula>"P"</formula>
    </cfRule>
  </conditionalFormatting>
  <conditionalFormatting sqref="AA1:AB1">
    <cfRule type="cellIs" dxfId="24" priority="16" operator="equal">
      <formula>"C"</formula>
    </cfRule>
    <cfRule type="cellIs" dxfId="23" priority="17" operator="equal">
      <formula>"R"</formula>
    </cfRule>
  </conditionalFormatting>
  <conditionalFormatting sqref="AA1:AB1">
    <cfRule type="cellIs" dxfId="22" priority="14" operator="equal">
      <formula>"C"</formula>
    </cfRule>
    <cfRule type="cellIs" dxfId="21" priority="15" operator="equal">
      <formula>"R"</formula>
    </cfRule>
  </conditionalFormatting>
  <conditionalFormatting sqref="AV12:BD12">
    <cfRule type="cellIs" dxfId="20" priority="11" operator="equal">
      <formula>"C"</formula>
    </cfRule>
    <cfRule type="cellIs" dxfId="19" priority="12" operator="equal">
      <formula>"R"</formula>
    </cfRule>
  </conditionalFormatting>
  <conditionalFormatting sqref="AV11:BF11">
    <cfRule type="cellIs" dxfId="18" priority="9" operator="equal">
      <formula>"C"</formula>
    </cfRule>
    <cfRule type="cellIs" dxfId="17" priority="10" operator="equal">
      <formula>"R"</formula>
    </cfRule>
  </conditionalFormatting>
  <conditionalFormatting sqref="BJ14:XFD19">
    <cfRule type="cellIs" dxfId="16" priority="102" operator="equal">
      <formula>"P"</formula>
    </cfRule>
  </conditionalFormatting>
  <conditionalFormatting sqref="BE12:BS12">
    <cfRule type="cellIs" dxfId="15" priority="7" operator="equal">
      <formula>"C"</formula>
    </cfRule>
    <cfRule type="cellIs" dxfId="14" priority="8" operator="equal">
      <formula>"R"</formula>
    </cfRule>
  </conditionalFormatting>
  <conditionalFormatting sqref="BE13:BS13">
    <cfRule type="cellIs" dxfId="13" priority="5" operator="equal">
      <formula>"C"</formula>
    </cfRule>
    <cfRule type="cellIs" dxfId="12" priority="6" operator="equal">
      <formula>"R"</formula>
    </cfRule>
  </conditionalFormatting>
  <conditionalFormatting sqref="BA14:BI19">
    <cfRule type="cellIs" dxfId="11" priority="3" operator="equal">
      <formula>"C"</formula>
    </cfRule>
    <cfRule type="cellIs" dxfId="1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54" t="s">
        <v>242</v>
      </c>
      <c r="E2" s="1155"/>
      <c r="F2" s="1155"/>
      <c r="G2" s="1155"/>
      <c r="H2" s="1155"/>
      <c r="I2" s="1155"/>
      <c r="J2" s="1155"/>
      <c r="K2" s="1155"/>
      <c r="L2" s="1155"/>
      <c r="M2" s="1155"/>
      <c r="N2" s="1155"/>
      <c r="O2" s="1155"/>
      <c r="P2" s="1155"/>
      <c r="Q2" s="1155"/>
      <c r="R2" s="1155"/>
      <c r="S2" s="1155"/>
      <c r="T2" s="1156"/>
      <c r="U2" s="1108">
        <v>2025</v>
      </c>
      <c r="V2" s="1109"/>
      <c r="W2" s="1109"/>
      <c r="X2" s="1109"/>
      <c r="Y2" s="1109"/>
      <c r="Z2" s="1109"/>
      <c r="AA2" s="1109"/>
      <c r="AB2" s="1109"/>
      <c r="AC2" s="1109"/>
      <c r="AD2" s="1109"/>
      <c r="AE2" s="1109"/>
      <c r="AF2" s="1109"/>
      <c r="AG2" s="1109"/>
      <c r="AH2" s="1109"/>
      <c r="AI2" s="1109"/>
      <c r="AJ2" s="1109"/>
      <c r="AK2" s="1109"/>
      <c r="AL2" s="1109"/>
      <c r="AM2" s="1109"/>
      <c r="AN2" s="1109"/>
      <c r="AO2" s="1109"/>
      <c r="AP2" s="1109"/>
      <c r="AQ2" s="1109"/>
      <c r="AR2" s="1109"/>
      <c r="AS2" s="1109"/>
      <c r="AT2" s="1109"/>
      <c r="AU2" s="1109"/>
      <c r="AV2" s="1109"/>
      <c r="AW2" s="1109"/>
      <c r="AX2" s="1109"/>
      <c r="AY2" s="1109"/>
      <c r="AZ2" s="1109"/>
      <c r="BA2" s="1109"/>
      <c r="BB2" s="1109"/>
      <c r="BC2" s="1109"/>
      <c r="BD2" s="1109"/>
      <c r="BE2" s="1109"/>
      <c r="BF2" s="1109"/>
      <c r="BG2" s="1109"/>
      <c r="BH2" s="1109"/>
      <c r="BI2" s="1109"/>
      <c r="BJ2" s="1109"/>
      <c r="BK2" s="1109"/>
      <c r="BL2" s="1109"/>
      <c r="BM2" s="1109"/>
      <c r="BN2" s="1109"/>
      <c r="BO2" s="1109"/>
      <c r="BP2" s="1109"/>
      <c r="BQ2" s="1109"/>
      <c r="BR2" s="1109"/>
      <c r="BS2" s="1109"/>
      <c r="BT2" s="1110"/>
    </row>
    <row r="3" spans="1:72" s="359" customFormat="1" ht="32.450000000000003" customHeight="1" thickBot="1" x14ac:dyDescent="0.3">
      <c r="A3" s="359" t="s">
        <v>241</v>
      </c>
      <c r="C3" s="358"/>
      <c r="D3" s="969" t="s">
        <v>9</v>
      </c>
      <c r="E3" s="969"/>
      <c r="F3" s="969"/>
      <c r="G3" s="969"/>
      <c r="H3" s="969" t="s">
        <v>10</v>
      </c>
      <c r="I3" s="969"/>
      <c r="J3" s="969"/>
      <c r="K3" s="969"/>
      <c r="L3" s="969"/>
      <c r="M3" s="969" t="s">
        <v>11</v>
      </c>
      <c r="N3" s="969"/>
      <c r="O3" s="969"/>
      <c r="P3" s="969"/>
      <c r="Q3" s="970" t="s">
        <v>12</v>
      </c>
      <c r="R3" s="971"/>
      <c r="S3" s="971"/>
      <c r="T3" s="972"/>
      <c r="U3" s="969" t="s">
        <v>1</v>
      </c>
      <c r="V3" s="969"/>
      <c r="W3" s="969"/>
      <c r="X3" s="969"/>
      <c r="Y3" s="969"/>
      <c r="Z3" s="970" t="s">
        <v>2</v>
      </c>
      <c r="AA3" s="971"/>
      <c r="AB3" s="971"/>
      <c r="AC3" s="972"/>
      <c r="AD3" s="970" t="s">
        <v>3</v>
      </c>
      <c r="AE3" s="971"/>
      <c r="AF3" s="971"/>
      <c r="AG3" s="972"/>
      <c r="AH3" s="970" t="s">
        <v>4</v>
      </c>
      <c r="AI3" s="971"/>
      <c r="AJ3" s="971"/>
      <c r="AK3" s="971"/>
      <c r="AL3" s="972"/>
      <c r="AM3" s="970" t="s">
        <v>5</v>
      </c>
      <c r="AN3" s="971"/>
      <c r="AO3" s="971"/>
      <c r="AP3" s="972"/>
      <c r="AQ3" s="970" t="s">
        <v>6</v>
      </c>
      <c r="AR3" s="971"/>
      <c r="AS3" s="971"/>
      <c r="AT3" s="971"/>
      <c r="AU3" s="972"/>
      <c r="AV3" s="970" t="s">
        <v>7</v>
      </c>
      <c r="AW3" s="971"/>
      <c r="AX3" s="971"/>
      <c r="AY3" s="972"/>
      <c r="AZ3" s="970" t="s">
        <v>8</v>
      </c>
      <c r="BA3" s="971"/>
      <c r="BB3" s="971"/>
      <c r="BC3" s="972"/>
      <c r="BD3" s="969" t="s">
        <v>9</v>
      </c>
      <c r="BE3" s="969"/>
      <c r="BF3" s="969"/>
      <c r="BG3" s="969"/>
      <c r="BH3" s="969" t="s">
        <v>10</v>
      </c>
      <c r="BI3" s="969"/>
      <c r="BJ3" s="969"/>
      <c r="BK3" s="969"/>
      <c r="BL3" s="969"/>
      <c r="BM3" s="969" t="s">
        <v>11</v>
      </c>
      <c r="BN3" s="969"/>
      <c r="BO3" s="969"/>
      <c r="BP3" s="969"/>
      <c r="BQ3" s="970" t="s">
        <v>12</v>
      </c>
      <c r="BR3" s="971"/>
      <c r="BS3" s="971"/>
      <c r="BT3" s="972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5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136" t="s">
        <v>97</v>
      </c>
      <c r="P5" s="1137"/>
      <c r="Q5" s="1137"/>
      <c r="R5" s="1138"/>
      <c r="S5" s="1138"/>
      <c r="T5" s="1138"/>
      <c r="U5" s="1138"/>
      <c r="V5" s="1138"/>
      <c r="W5" s="1138"/>
      <c r="X5" s="1138"/>
      <c r="Y5" s="1138"/>
      <c r="Z5" s="1138"/>
      <c r="AA5" s="1138"/>
      <c r="AB5" s="1138"/>
      <c r="AC5" s="1138"/>
      <c r="AD5" s="1138"/>
      <c r="AE5" s="1138"/>
      <c r="AF5" s="1138"/>
      <c r="AG5" s="1138"/>
      <c r="AH5" s="1138"/>
      <c r="AI5" s="1138"/>
      <c r="AJ5" s="1138"/>
      <c r="AK5" s="1138"/>
      <c r="AL5" s="1138"/>
      <c r="AM5" s="1138"/>
      <c r="AN5" s="1138"/>
      <c r="AO5" s="1138"/>
      <c r="AP5" s="1138"/>
      <c r="AQ5" s="1138"/>
      <c r="AR5" s="1138"/>
      <c r="AS5" s="1138"/>
      <c r="AT5" s="1138"/>
      <c r="AU5" s="1138"/>
      <c r="AV5" s="113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58"/>
      <c r="C6" s="363">
        <f>1+C5</f>
        <v>2</v>
      </c>
      <c r="D6" s="357"/>
      <c r="E6" s="1160" t="s">
        <v>80</v>
      </c>
      <c r="F6" s="1160"/>
      <c r="G6" s="1160"/>
      <c r="H6" s="1160"/>
      <c r="I6" s="1160"/>
      <c r="J6" s="1160"/>
      <c r="K6" s="1160"/>
      <c r="L6" s="1160"/>
      <c r="M6" s="1160"/>
      <c r="N6" s="1160"/>
      <c r="O6" s="1160"/>
      <c r="P6" s="1160"/>
      <c r="Q6" s="1160"/>
      <c r="R6" s="383"/>
      <c r="S6" s="383"/>
      <c r="T6" s="384"/>
      <c r="U6" s="383"/>
      <c r="V6" s="383"/>
      <c r="W6" s="1162" t="s">
        <v>134</v>
      </c>
      <c r="X6" s="1162"/>
      <c r="Y6" s="1162"/>
      <c r="Z6" s="1162"/>
      <c r="AA6" s="1162"/>
      <c r="AB6" s="1162"/>
      <c r="AC6" s="1162"/>
      <c r="AD6" s="1162"/>
      <c r="AE6" s="1162"/>
      <c r="AF6" s="1162"/>
      <c r="AG6" s="1162"/>
      <c r="AH6" s="1162"/>
      <c r="AI6" s="1162"/>
      <c r="AJ6" s="1162"/>
      <c r="AK6" s="116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5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60" t="s">
        <v>80</v>
      </c>
      <c r="K7" s="1160"/>
      <c r="L7" s="1160"/>
      <c r="M7" s="1160"/>
      <c r="N7" s="1160"/>
      <c r="O7" s="1160"/>
      <c r="P7" s="1160"/>
      <c r="Q7" s="1160"/>
      <c r="R7" s="1160"/>
      <c r="S7" s="1160"/>
      <c r="T7" s="1160"/>
      <c r="U7" s="1160"/>
      <c r="V7" s="1160"/>
      <c r="W7" s="383"/>
      <c r="X7" s="383"/>
      <c r="Y7" s="384"/>
      <c r="Z7" s="1163" t="s">
        <v>134</v>
      </c>
      <c r="AA7" s="1164"/>
      <c r="AB7" s="1164"/>
      <c r="AC7" s="1164"/>
      <c r="AD7" s="1164"/>
      <c r="AE7" s="1164"/>
      <c r="AF7" s="1164"/>
      <c r="AG7" s="1164"/>
      <c r="AH7" s="1164"/>
      <c r="AI7" s="1164"/>
      <c r="AJ7" s="1164"/>
      <c r="AK7" s="1164"/>
      <c r="AL7" s="1164"/>
      <c r="AM7" s="1164"/>
      <c r="AN7" s="116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5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161" t="s">
        <v>80</v>
      </c>
      <c r="N8" s="1161"/>
      <c r="O8" s="1161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387"/>
      <c r="AC8" s="388"/>
      <c r="AD8" s="387"/>
      <c r="AE8" s="1166" t="s">
        <v>134</v>
      </c>
      <c r="AF8" s="1166"/>
      <c r="AG8" s="1166"/>
      <c r="AH8" s="1166"/>
      <c r="AI8" s="1166"/>
      <c r="AJ8" s="1166"/>
      <c r="AK8" s="1166"/>
      <c r="AL8" s="1166"/>
      <c r="AM8" s="1166"/>
      <c r="AN8" s="1166"/>
      <c r="AO8" s="1166"/>
      <c r="AP8" s="1166"/>
      <c r="AQ8" s="1166"/>
      <c r="AR8" s="116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133">
        <v>2</v>
      </c>
      <c r="C9" s="396">
        <f t="shared" si="0"/>
        <v>5</v>
      </c>
      <c r="D9" s="364"/>
      <c r="E9" s="365"/>
      <c r="F9" s="365"/>
      <c r="G9" s="391"/>
      <c r="H9" s="1140" t="s">
        <v>145</v>
      </c>
      <c r="I9" s="1141"/>
      <c r="J9" s="1141"/>
      <c r="K9" s="1141"/>
      <c r="L9" s="1141"/>
      <c r="M9" s="1141"/>
      <c r="N9" s="1141"/>
      <c r="O9" s="1141"/>
      <c r="P9" s="1141"/>
      <c r="Q9" s="1141"/>
      <c r="R9" s="1141"/>
      <c r="S9" s="1141"/>
      <c r="T9" s="1141"/>
      <c r="U9" s="1141"/>
      <c r="V9" s="1141"/>
      <c r="W9" s="1141"/>
      <c r="X9" s="1141"/>
      <c r="Y9" s="1141"/>
      <c r="Z9" s="1141"/>
      <c r="AA9" s="1142"/>
      <c r="AB9" s="379"/>
      <c r="AC9" s="380"/>
      <c r="AD9" s="379"/>
      <c r="AE9" s="379"/>
      <c r="AF9" s="379"/>
      <c r="AG9" s="380"/>
      <c r="AH9" s="378"/>
      <c r="AI9" s="1152" t="s">
        <v>77</v>
      </c>
      <c r="AJ9" s="1152"/>
      <c r="AK9" s="1152"/>
      <c r="AL9" s="1152"/>
      <c r="AM9" s="1152"/>
      <c r="AN9" s="1152"/>
      <c r="AO9" s="1152"/>
      <c r="AP9" s="1152"/>
      <c r="AQ9" s="1152"/>
      <c r="AR9" s="1152"/>
      <c r="AS9" s="1152"/>
      <c r="AT9" s="1152"/>
      <c r="AU9" s="1152"/>
      <c r="AV9" s="1152"/>
      <c r="AW9" s="115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134"/>
      <c r="C10" s="397">
        <f t="shared" si="0"/>
        <v>6</v>
      </c>
      <c r="D10" s="357"/>
      <c r="E10" s="350"/>
      <c r="F10" s="350"/>
      <c r="G10" s="392"/>
      <c r="H10" s="1143"/>
      <c r="I10" s="1144"/>
      <c r="J10" s="1144"/>
      <c r="K10" s="1144"/>
      <c r="L10" s="1144"/>
      <c r="M10" s="1144"/>
      <c r="N10" s="1144"/>
      <c r="O10" s="1144"/>
      <c r="P10" s="1144"/>
      <c r="Q10" s="1144"/>
      <c r="R10" s="1144"/>
      <c r="S10" s="1144"/>
      <c r="T10" s="1144"/>
      <c r="U10" s="1144"/>
      <c r="V10" s="1144"/>
      <c r="W10" s="1144"/>
      <c r="X10" s="1144"/>
      <c r="Y10" s="1144"/>
      <c r="Z10" s="1144"/>
      <c r="AA10" s="1145"/>
      <c r="AB10" s="383"/>
      <c r="AC10" s="384"/>
      <c r="AD10" s="383"/>
      <c r="AE10" s="383"/>
      <c r="AF10" s="383"/>
      <c r="AG10" s="384"/>
      <c r="AH10" s="382"/>
      <c r="AI10" s="1153"/>
      <c r="AJ10" s="1153"/>
      <c r="AK10" s="1153"/>
      <c r="AL10" s="1153"/>
      <c r="AM10" s="1153"/>
      <c r="AN10" s="1153"/>
      <c r="AO10" s="1153"/>
      <c r="AP10" s="1153"/>
      <c r="AQ10" s="1153"/>
      <c r="AR10" s="1153"/>
      <c r="AS10" s="1153"/>
      <c r="AT10" s="1153"/>
      <c r="AU10" s="1153"/>
      <c r="AV10" s="1153"/>
      <c r="AW10" s="115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13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146" t="s">
        <v>145</v>
      </c>
      <c r="U11" s="1147"/>
      <c r="V11" s="1147"/>
      <c r="W11" s="1147"/>
      <c r="X11" s="1147"/>
      <c r="Y11" s="1147"/>
      <c r="Z11" s="1147"/>
      <c r="AA11" s="1147"/>
      <c r="AB11" s="1147"/>
      <c r="AC11" s="1147"/>
      <c r="AD11" s="1147"/>
      <c r="AE11" s="1147"/>
      <c r="AF11" s="1147"/>
      <c r="AG11" s="1147"/>
      <c r="AH11" s="1147"/>
      <c r="AI11" s="1147"/>
      <c r="AJ11" s="1147"/>
      <c r="AK11" s="1147"/>
      <c r="AL11" s="114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13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149"/>
      <c r="U12" s="1150"/>
      <c r="V12" s="1150"/>
      <c r="W12" s="1150"/>
      <c r="X12" s="1150"/>
      <c r="Y12" s="1150"/>
      <c r="Z12" s="1150"/>
      <c r="AA12" s="1150"/>
      <c r="AB12" s="1150"/>
      <c r="AC12" s="1150"/>
      <c r="AD12" s="1150"/>
      <c r="AE12" s="1150"/>
      <c r="AF12" s="1150"/>
      <c r="AG12" s="1150"/>
      <c r="AH12" s="1150"/>
      <c r="AI12" s="1150"/>
      <c r="AJ12" s="1150"/>
      <c r="AK12" s="1150"/>
      <c r="AL12" s="115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5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177" t="s">
        <v>80</v>
      </c>
      <c r="T13" s="1178"/>
      <c r="U13" s="1178"/>
      <c r="V13" s="1178"/>
      <c r="W13" s="1178"/>
      <c r="X13" s="1178"/>
      <c r="Y13" s="1178"/>
      <c r="Z13" s="1178"/>
      <c r="AA13" s="1178"/>
      <c r="AB13" s="1178"/>
      <c r="AC13" s="1178"/>
      <c r="AD13" s="1178"/>
      <c r="AE13" s="1179"/>
      <c r="AF13" s="403"/>
      <c r="AG13" s="404"/>
      <c r="AH13" s="378"/>
      <c r="AI13" s="378"/>
      <c r="AJ13" s="378"/>
      <c r="AK13" s="378"/>
      <c r="AL13" s="377"/>
      <c r="AM13" s="1152" t="s">
        <v>111</v>
      </c>
      <c r="AN13" s="1183"/>
      <c r="AO13" s="1183"/>
      <c r="AP13" s="1183"/>
      <c r="AQ13" s="1183"/>
      <c r="AR13" s="1183"/>
      <c r="AS13" s="1183"/>
      <c r="AT13" s="1183"/>
      <c r="AU13" s="1183"/>
      <c r="AV13" s="1183"/>
      <c r="AW13" s="1183"/>
      <c r="AX13" s="1183"/>
      <c r="AY13" s="118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58"/>
      <c r="C14" s="363">
        <f t="shared" si="0"/>
        <v>10</v>
      </c>
      <c r="D14" s="357"/>
      <c r="E14" s="1195" t="s">
        <v>114</v>
      </c>
      <c r="F14" s="1184"/>
      <c r="G14" s="1184"/>
      <c r="H14" s="1184"/>
      <c r="I14" s="1184"/>
      <c r="J14" s="1184"/>
      <c r="K14" s="1185"/>
      <c r="L14" s="1185"/>
      <c r="M14" s="1185"/>
      <c r="N14" s="1185"/>
      <c r="O14" s="1185"/>
      <c r="P14" s="1185"/>
      <c r="Q14" s="1185"/>
      <c r="R14" s="1185"/>
      <c r="S14" s="1185"/>
      <c r="T14" s="383"/>
      <c r="U14" s="390"/>
      <c r="V14" s="383"/>
      <c r="W14" s="1180" t="s">
        <v>80</v>
      </c>
      <c r="X14" s="1180"/>
      <c r="Y14" s="1180"/>
      <c r="Z14" s="1180"/>
      <c r="AA14" s="1180"/>
      <c r="AB14" s="1160"/>
      <c r="AC14" s="1160"/>
      <c r="AD14" s="1160"/>
      <c r="AE14" s="1180"/>
      <c r="AF14" s="1180"/>
      <c r="AG14" s="1180"/>
      <c r="AH14" s="1180"/>
      <c r="AI14" s="1180"/>
      <c r="AJ14" s="383"/>
      <c r="AK14" s="383"/>
      <c r="AL14" s="384"/>
      <c r="AM14" s="1184"/>
      <c r="AN14" s="1184"/>
      <c r="AO14" s="1184"/>
      <c r="AP14" s="1184"/>
      <c r="AQ14" s="1184"/>
      <c r="AR14" s="1184"/>
      <c r="AS14" s="1184"/>
      <c r="AT14" s="1185"/>
      <c r="AU14" s="1185"/>
      <c r="AV14" s="1185"/>
      <c r="AW14" s="1185"/>
      <c r="AX14" s="1185"/>
      <c r="AY14" s="118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5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195" t="s">
        <v>114</v>
      </c>
      <c r="L15" s="1184"/>
      <c r="M15" s="1184"/>
      <c r="N15" s="1184"/>
      <c r="O15" s="1184"/>
      <c r="P15" s="1184"/>
      <c r="Q15" s="1184"/>
      <c r="R15" s="1184"/>
      <c r="S15" s="1184"/>
      <c r="T15" s="1184"/>
      <c r="U15" s="1184"/>
      <c r="V15" s="1184"/>
      <c r="W15" s="1184"/>
      <c r="X15" s="1184"/>
      <c r="Y15" s="1184"/>
      <c r="Z15" s="1184"/>
      <c r="AA15" s="1184"/>
      <c r="AB15" s="383"/>
      <c r="AC15" s="1181" t="s">
        <v>80</v>
      </c>
      <c r="AD15" s="1181"/>
      <c r="AE15" s="1181"/>
      <c r="AF15" s="1181"/>
      <c r="AG15" s="1181"/>
      <c r="AH15" s="1181"/>
      <c r="AI15" s="1181"/>
      <c r="AJ15" s="1181"/>
      <c r="AK15" s="1181"/>
      <c r="AL15" s="1181"/>
      <c r="AM15" s="1182"/>
      <c r="AN15" s="382"/>
      <c r="AO15" s="382"/>
      <c r="AP15" s="381"/>
      <c r="AQ15" s="382"/>
      <c r="AR15" s="382"/>
      <c r="AS15" s="382"/>
      <c r="AT15" s="1153" t="s">
        <v>111</v>
      </c>
      <c r="AU15" s="1184"/>
      <c r="AV15" s="1184"/>
      <c r="AW15" s="1184"/>
      <c r="AX15" s="1184"/>
      <c r="AY15" s="1184"/>
      <c r="AZ15" s="1184"/>
      <c r="BA15" s="1184"/>
      <c r="BB15" s="1184"/>
      <c r="BC15" s="1184"/>
      <c r="BD15" s="1184"/>
      <c r="BE15" s="1184"/>
      <c r="BF15" s="1184"/>
      <c r="BG15" s="1184"/>
      <c r="BH15" s="350"/>
      <c r="BL15" s="159"/>
      <c r="BP15" s="159"/>
      <c r="BT15" s="351"/>
    </row>
    <row r="16" spans="1:72" ht="19.899999999999999" customHeight="1" thickBot="1" x14ac:dyDescent="0.3">
      <c r="B16" s="117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193" t="s">
        <v>110</v>
      </c>
      <c r="AA16" s="1194"/>
      <c r="AB16" s="1185"/>
      <c r="AC16" s="1185"/>
      <c r="AD16" s="1185"/>
      <c r="AE16" s="1185"/>
      <c r="AF16" s="1185"/>
      <c r="AG16" s="1185"/>
      <c r="AH16" s="1185"/>
      <c r="AI16" s="1185"/>
      <c r="AJ16" s="1185"/>
      <c r="AK16" s="1185"/>
      <c r="AL16" s="1185"/>
      <c r="AM16" s="1185"/>
      <c r="AN16" s="350"/>
      <c r="AO16" s="350"/>
      <c r="AP16" s="355"/>
      <c r="AQ16" s="350"/>
      <c r="AR16" s="350"/>
      <c r="AS16" s="350"/>
      <c r="AT16" s="1185"/>
      <c r="AU16" s="1185"/>
      <c r="AV16" s="1185"/>
      <c r="AW16" s="1185"/>
      <c r="AX16" s="1185"/>
      <c r="AY16" s="1185"/>
      <c r="AZ16" s="1185"/>
      <c r="BA16" s="1185"/>
      <c r="BB16" s="1185"/>
      <c r="BC16" s="1185"/>
      <c r="BD16" s="1185"/>
      <c r="BE16" s="1185"/>
      <c r="BF16" s="1185"/>
      <c r="BG16" s="1185"/>
      <c r="BH16" s="350"/>
      <c r="BL16" s="159"/>
      <c r="BP16" s="159"/>
      <c r="BT16" s="351"/>
    </row>
    <row r="17" spans="2:72" ht="19.899999999999999" customHeight="1" thickTop="1" x14ac:dyDescent="0.25">
      <c r="B17" s="117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189" t="s">
        <v>82</v>
      </c>
      <c r="U17" s="1190"/>
      <c r="V17" s="1190"/>
      <c r="W17" s="1190"/>
      <c r="X17" s="1190"/>
      <c r="Y17" s="1190"/>
      <c r="Z17" s="1190"/>
      <c r="AA17" s="1190"/>
      <c r="AB17" s="1190"/>
      <c r="AC17" s="1190"/>
      <c r="AD17" s="1190"/>
      <c r="AE17" s="1190"/>
      <c r="AF17" s="1190"/>
      <c r="AG17" s="1190"/>
      <c r="AH17" s="1190"/>
      <c r="AI17" s="1190"/>
      <c r="AJ17" s="367"/>
      <c r="AK17" s="1152" t="s">
        <v>115</v>
      </c>
      <c r="AL17" s="1152"/>
      <c r="AM17" s="1152"/>
      <c r="AN17" s="1152"/>
      <c r="AO17" s="1152"/>
      <c r="AP17" s="1152"/>
      <c r="AQ17" s="1152"/>
      <c r="AR17" s="1152"/>
      <c r="AS17" s="1152"/>
      <c r="AT17" s="1152"/>
      <c r="AU17" s="1152"/>
      <c r="AV17" s="1152"/>
      <c r="AW17" s="1152"/>
      <c r="AX17" s="1152"/>
      <c r="AY17" s="1152"/>
      <c r="AZ17" s="115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17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196" t="s">
        <v>123</v>
      </c>
      <c r="W18" s="1191"/>
      <c r="X18" s="1191"/>
      <c r="Y18" s="1191"/>
      <c r="Z18" s="1191"/>
      <c r="AA18" s="1191"/>
      <c r="AB18" s="1192"/>
      <c r="AC18" s="1192"/>
      <c r="AD18" s="1192"/>
      <c r="AE18" s="1192"/>
      <c r="AF18" s="1192"/>
      <c r="AG18" s="1192"/>
      <c r="AH18" s="1192"/>
      <c r="AI18" s="376"/>
      <c r="AJ18" s="376"/>
      <c r="AK18" s="1153"/>
      <c r="AL18" s="1153"/>
      <c r="AM18" s="1153"/>
      <c r="AN18" s="1153"/>
      <c r="AO18" s="1153"/>
      <c r="AP18" s="1153"/>
      <c r="AQ18" s="1153"/>
      <c r="AR18" s="1153"/>
      <c r="AS18" s="1153"/>
      <c r="AT18" s="1153"/>
      <c r="AU18" s="1153"/>
      <c r="AV18" s="1153"/>
      <c r="AW18" s="1153"/>
      <c r="AX18" s="1153"/>
      <c r="AY18" s="1153"/>
      <c r="AZ18" s="115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17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196" t="s">
        <v>123</v>
      </c>
      <c r="AC19" s="1191"/>
      <c r="AD19" s="1191"/>
      <c r="AE19" s="1191"/>
      <c r="AF19" s="1191"/>
      <c r="AG19" s="1191"/>
      <c r="AH19" s="1191"/>
      <c r="AI19" s="1191"/>
      <c r="AJ19" s="1191"/>
      <c r="AK19" s="1191"/>
      <c r="AL19" s="1191"/>
      <c r="AM19" s="1191"/>
      <c r="AN19" s="1191"/>
      <c r="AO19" s="350"/>
      <c r="AP19" s="355"/>
      <c r="AQ19" s="1200" t="s">
        <v>115</v>
      </c>
      <c r="AR19" s="1200"/>
      <c r="AS19" s="1200"/>
      <c r="AT19" s="1200"/>
      <c r="AU19" s="1200"/>
      <c r="AV19" s="1200"/>
      <c r="AW19" s="1200"/>
      <c r="AX19" s="1200"/>
      <c r="AY19" s="1200"/>
      <c r="AZ19" s="1200"/>
      <c r="BA19" s="1153"/>
      <c r="BB19" s="1153"/>
      <c r="BC19" s="1153"/>
      <c r="BD19" s="1153"/>
      <c r="BE19" s="1153"/>
      <c r="BF19" s="115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17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206" t="s">
        <v>92</v>
      </c>
      <c r="AB20" s="1207"/>
      <c r="AC20" s="1207"/>
      <c r="AD20" s="1207"/>
      <c r="AE20" s="1207"/>
      <c r="AF20" s="1207"/>
      <c r="AG20" s="1207"/>
      <c r="AH20" s="1207"/>
      <c r="AI20" s="1207"/>
      <c r="AJ20" s="371"/>
      <c r="AK20" s="371"/>
      <c r="AL20" s="372"/>
      <c r="AM20" s="371"/>
      <c r="AN20" s="371"/>
      <c r="AO20" s="371"/>
      <c r="AP20" s="372"/>
      <c r="AQ20" s="1201"/>
      <c r="AR20" s="1201"/>
      <c r="AS20" s="1201"/>
      <c r="AT20" s="1201"/>
      <c r="AU20" s="1201"/>
      <c r="AV20" s="1201"/>
      <c r="AW20" s="1201"/>
      <c r="AX20" s="1201"/>
      <c r="AY20" s="1201"/>
      <c r="AZ20" s="1201"/>
      <c r="BA20" s="1201"/>
      <c r="BB20" s="1201"/>
      <c r="BC20" s="1201"/>
      <c r="BD20" s="1201"/>
      <c r="BE20" s="1201"/>
      <c r="BF20" s="120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187">
        <v>5</v>
      </c>
      <c r="C21" s="363">
        <f t="shared" si="0"/>
        <v>17</v>
      </c>
      <c r="D21" s="357"/>
      <c r="E21" s="350"/>
      <c r="F21" s="350"/>
      <c r="G21" s="1199" t="s">
        <v>94</v>
      </c>
      <c r="H21" s="1198"/>
      <c r="I21" s="1198"/>
      <c r="J21" s="1198"/>
      <c r="K21" s="1198"/>
      <c r="L21" s="1198"/>
      <c r="M21" s="1198"/>
      <c r="N21" s="1194"/>
      <c r="O21" s="1194"/>
      <c r="P21" s="1194"/>
      <c r="Q21" s="1194"/>
      <c r="R21" s="1194"/>
      <c r="S21" s="1194"/>
      <c r="T21" s="1194"/>
      <c r="U21" s="1194"/>
      <c r="V21" s="1194"/>
      <c r="X21" s="1204" t="s">
        <v>92</v>
      </c>
      <c r="Y21" s="1205"/>
      <c r="Z21" s="1205"/>
      <c r="AA21" s="1205"/>
      <c r="AB21" s="1205"/>
      <c r="AC21" s="1205"/>
      <c r="AD21" s="1205"/>
      <c r="AE21" s="1205"/>
      <c r="AF21" s="1205"/>
      <c r="AG21" s="1205"/>
      <c r="AH21" s="1205"/>
      <c r="AI21" s="350"/>
      <c r="AJ21" s="1169" t="s">
        <v>96</v>
      </c>
      <c r="AK21" s="1169"/>
      <c r="AL21" s="1169"/>
      <c r="AM21" s="1169"/>
      <c r="AN21" s="1169"/>
      <c r="AO21" s="1169"/>
      <c r="AP21" s="1169"/>
      <c r="AQ21" s="1169"/>
      <c r="AR21" s="1169"/>
      <c r="AS21" s="1169"/>
      <c r="AT21" s="1169"/>
      <c r="AU21" s="1169"/>
      <c r="AV21" s="1169"/>
      <c r="AW21" s="1169"/>
      <c r="AX21" s="1169"/>
      <c r="AY21" s="1169"/>
      <c r="AZ21" s="1169"/>
      <c r="BA21" s="1169"/>
      <c r="BB21" s="1169"/>
      <c r="BC21" s="1169"/>
      <c r="BD21" s="116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187"/>
      <c r="C22" s="363">
        <f t="shared" si="0"/>
        <v>18</v>
      </c>
      <c r="D22" s="357"/>
      <c r="E22" s="350"/>
      <c r="F22" s="350"/>
      <c r="G22" s="355"/>
      <c r="H22" s="350"/>
      <c r="L22" s="159"/>
      <c r="N22" s="1214" t="s">
        <v>94</v>
      </c>
      <c r="O22" s="1184"/>
      <c r="P22" s="1184"/>
      <c r="Q22" s="1184"/>
      <c r="R22" s="1184"/>
      <c r="S22" s="1184"/>
      <c r="T22" s="1184"/>
      <c r="U22" s="1184"/>
      <c r="V22" s="1184"/>
      <c r="W22" s="1184"/>
      <c r="X22" s="1184"/>
      <c r="Y22" s="1184"/>
      <c r="Z22" s="1184"/>
      <c r="AA22" s="1184"/>
      <c r="AB22" s="1184"/>
      <c r="AC22" s="1184"/>
      <c r="AD22" s="1184"/>
      <c r="AG22" s="159"/>
      <c r="AH22" s="350"/>
      <c r="AI22" s="350"/>
      <c r="AJ22" s="1170"/>
      <c r="AK22" s="1170"/>
      <c r="AL22" s="1170"/>
      <c r="AM22" s="1170"/>
      <c r="AN22" s="1170"/>
      <c r="AO22" s="1170"/>
      <c r="AP22" s="1170"/>
      <c r="AQ22" s="1170"/>
      <c r="AR22" s="1170"/>
      <c r="AS22" s="1170"/>
      <c r="AT22" s="1170"/>
      <c r="AU22" s="1170"/>
      <c r="AV22" s="1170"/>
      <c r="AW22" s="1170"/>
      <c r="AX22" s="1170"/>
      <c r="AY22" s="1170"/>
      <c r="AZ22" s="1170"/>
      <c r="BA22" s="1170"/>
      <c r="BB22" s="1170"/>
      <c r="BC22" s="1170"/>
      <c r="BD22" s="117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18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208" t="s">
        <v>94</v>
      </c>
      <c r="T23" s="1209"/>
      <c r="U23" s="1209"/>
      <c r="V23" s="1209"/>
      <c r="W23" s="1209"/>
      <c r="X23" s="1209"/>
      <c r="Y23" s="1209"/>
      <c r="Z23" s="1209"/>
      <c r="AA23" s="1209"/>
      <c r="AB23" s="1209"/>
      <c r="AC23" s="1209"/>
      <c r="AD23" s="1209"/>
      <c r="AE23" s="1209"/>
      <c r="AF23" s="1209"/>
      <c r="AG23" s="1209"/>
      <c r="AH23" s="1209"/>
      <c r="AI23" s="1209"/>
      <c r="AJ23" s="1170"/>
      <c r="AK23" s="1170"/>
      <c r="AL23" s="1170"/>
      <c r="AM23" s="1170"/>
      <c r="AN23" s="1170"/>
      <c r="AO23" s="1170"/>
      <c r="AP23" s="1170"/>
      <c r="AQ23" s="1170"/>
      <c r="AR23" s="1170"/>
      <c r="AS23" s="1170"/>
      <c r="AT23" s="1170"/>
      <c r="AU23" s="1170"/>
      <c r="AV23" s="1170"/>
      <c r="AW23" s="1170"/>
      <c r="AX23" s="1170"/>
      <c r="AY23" s="1170"/>
      <c r="AZ23" s="1170"/>
      <c r="BA23" s="1170"/>
      <c r="BB23" s="1170"/>
      <c r="BC23" s="1170"/>
      <c r="BD23" s="117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18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172" t="s">
        <v>98</v>
      </c>
      <c r="AK24" s="1172"/>
      <c r="AL24" s="1172"/>
      <c r="AM24" s="1172"/>
      <c r="AN24" s="1172"/>
      <c r="AO24" s="1172"/>
      <c r="AP24" s="1172"/>
      <c r="AQ24" s="1172"/>
      <c r="AR24" s="1172"/>
      <c r="AS24" s="1172"/>
      <c r="AT24" s="1172"/>
      <c r="AU24" s="1172"/>
      <c r="AV24" s="1172"/>
      <c r="AW24" s="1172"/>
      <c r="AX24" s="1172"/>
      <c r="AY24" s="1172"/>
      <c r="AZ24" s="1172"/>
      <c r="BA24" s="1172"/>
      <c r="BB24" s="1172"/>
      <c r="BC24" s="1172"/>
      <c r="BD24" s="117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16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210" t="s">
        <v>92</v>
      </c>
      <c r="AJ25" s="1184"/>
      <c r="AK25" s="1184"/>
      <c r="AL25" s="1184"/>
      <c r="AM25" s="1184"/>
      <c r="AN25" s="1184"/>
      <c r="AO25" s="1184"/>
      <c r="AP25" s="1184"/>
      <c r="AQ25" s="350"/>
      <c r="AR25" s="350"/>
      <c r="AS25" s="1169" t="s">
        <v>96</v>
      </c>
      <c r="AT25" s="1169"/>
      <c r="AU25" s="1169"/>
      <c r="AV25" s="1169"/>
      <c r="AW25" s="1169"/>
      <c r="AX25" s="1169"/>
      <c r="AY25" s="1169"/>
      <c r="AZ25" s="1169"/>
      <c r="BA25" s="1169"/>
      <c r="BB25" s="1169"/>
      <c r="BC25" s="1169"/>
      <c r="BD25" s="1169"/>
      <c r="BE25" s="1169"/>
      <c r="BF25" s="1169"/>
      <c r="BG25" s="1169"/>
      <c r="BH25" s="1169"/>
      <c r="BI25" s="1169"/>
      <c r="BJ25" s="1169"/>
      <c r="BK25" s="1169"/>
      <c r="BL25" s="1169"/>
      <c r="BM25" s="1169"/>
      <c r="BP25" s="159"/>
      <c r="BT25" s="351"/>
    </row>
    <row r="26" spans="2:72" ht="19.899999999999999" customHeight="1" x14ac:dyDescent="0.25">
      <c r="B26" s="116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196" t="s">
        <v>92</v>
      </c>
      <c r="AC26" s="1191"/>
      <c r="AD26" s="1191"/>
      <c r="AE26" s="1191"/>
      <c r="AF26" s="1191"/>
      <c r="AG26" s="1192"/>
      <c r="AH26" s="1192"/>
      <c r="AI26" s="1192"/>
      <c r="AJ26" s="1192"/>
      <c r="AK26" s="1192"/>
      <c r="AL26" s="1192"/>
      <c r="AM26" s="382"/>
      <c r="AN26" s="382"/>
      <c r="AO26" s="350"/>
      <c r="AP26" s="355"/>
      <c r="AQ26" s="350"/>
      <c r="AR26" s="350"/>
      <c r="AS26" s="1170"/>
      <c r="AT26" s="1170"/>
      <c r="AU26" s="1170"/>
      <c r="AV26" s="1170"/>
      <c r="AW26" s="1170"/>
      <c r="AX26" s="1170"/>
      <c r="AY26" s="1170"/>
      <c r="AZ26" s="1170"/>
      <c r="BA26" s="1170"/>
      <c r="BB26" s="1170"/>
      <c r="BC26" s="1170"/>
      <c r="BD26" s="1170"/>
      <c r="BE26" s="1170"/>
      <c r="BF26" s="1170"/>
      <c r="BG26" s="1170"/>
      <c r="BH26" s="1170"/>
      <c r="BI26" s="1170"/>
      <c r="BJ26" s="1170"/>
      <c r="BK26" s="1170"/>
      <c r="BL26" s="1170"/>
      <c r="BM26" s="1170"/>
      <c r="BP26" s="159"/>
      <c r="BT26" s="351"/>
    </row>
    <row r="27" spans="2:72" ht="19.899999999999999" customHeight="1" x14ac:dyDescent="0.25">
      <c r="B27" s="116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196" t="s">
        <v>92</v>
      </c>
      <c r="AH27" s="1191"/>
      <c r="AI27" s="1191"/>
      <c r="AJ27" s="1191"/>
      <c r="AK27" s="1191"/>
      <c r="AL27" s="1191"/>
      <c r="AM27" s="1191"/>
      <c r="AN27" s="1191"/>
      <c r="AO27" s="350"/>
      <c r="AP27" s="355"/>
      <c r="AQ27" s="350"/>
      <c r="AR27" s="350"/>
      <c r="AS27" s="1171"/>
      <c r="AT27" s="1171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1"/>
      <c r="BE27" s="1170"/>
      <c r="BF27" s="1170"/>
      <c r="BG27" s="1170"/>
      <c r="BH27" s="1170"/>
      <c r="BI27" s="1170"/>
      <c r="BJ27" s="1170"/>
      <c r="BK27" s="1170"/>
      <c r="BL27" s="1170"/>
      <c r="BM27" s="1170"/>
      <c r="BP27" s="159"/>
      <c r="BT27" s="351"/>
    </row>
    <row r="28" spans="2:72" ht="19.899999999999999" customHeight="1" thickBot="1" x14ac:dyDescent="0.3">
      <c r="B28" s="116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197" t="s">
        <v>98</v>
      </c>
      <c r="AK28" s="1197"/>
      <c r="AL28" s="1197"/>
      <c r="AM28" s="1197"/>
      <c r="AN28" s="1197"/>
      <c r="AO28" s="1172"/>
      <c r="AP28" s="1172"/>
      <c r="AQ28" s="1172"/>
      <c r="AR28" s="1172"/>
      <c r="AS28" s="1172"/>
      <c r="AT28" s="1172"/>
      <c r="AU28" s="1172"/>
      <c r="AV28" s="1172"/>
      <c r="AW28" s="1172"/>
      <c r="AX28" s="1172"/>
      <c r="AY28" s="1172"/>
      <c r="AZ28" s="1172"/>
      <c r="BA28" s="1172"/>
      <c r="BB28" s="1172"/>
      <c r="BC28" s="1172"/>
      <c r="BD28" s="117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18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169" t="s">
        <v>87</v>
      </c>
      <c r="Z29" s="1198"/>
      <c r="AA29" s="1198"/>
      <c r="AB29" s="1198"/>
      <c r="AC29" s="1198"/>
      <c r="AD29" s="1198"/>
      <c r="AE29" s="1198"/>
      <c r="AF29" s="1198"/>
      <c r="AG29" s="1198"/>
      <c r="AH29" s="1198"/>
      <c r="AI29" s="1198"/>
      <c r="AJ29" s="1198"/>
      <c r="AK29" s="1198"/>
      <c r="AL29" s="1198"/>
      <c r="AM29" s="1198"/>
      <c r="AN29" s="1198"/>
      <c r="AO29" s="1198"/>
      <c r="AP29" s="1198"/>
      <c r="AQ29" s="1198"/>
      <c r="AR29" s="1198"/>
      <c r="AS29" s="1198"/>
      <c r="AT29" s="1198"/>
      <c r="AU29" s="119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18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184"/>
      <c r="Z30" s="1184"/>
      <c r="AA30" s="1184"/>
      <c r="AB30" s="1184"/>
      <c r="AC30" s="1184"/>
      <c r="AD30" s="1184"/>
      <c r="AE30" s="1184"/>
      <c r="AF30" s="1184"/>
      <c r="AG30" s="1184"/>
      <c r="AH30" s="1184"/>
      <c r="AI30" s="1184"/>
      <c r="AJ30" s="1184"/>
      <c r="AK30" s="1184"/>
      <c r="AL30" s="1184"/>
      <c r="AM30" s="1184"/>
      <c r="AN30" s="1184"/>
      <c r="AO30" s="1184"/>
      <c r="AP30" s="1184"/>
      <c r="AQ30" s="1184"/>
      <c r="AR30" s="1184"/>
      <c r="AS30" s="1184"/>
      <c r="AT30" s="1184"/>
      <c r="AU30" s="118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18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184"/>
      <c r="Z31" s="1184"/>
      <c r="AA31" s="1184"/>
      <c r="AB31" s="1184"/>
      <c r="AC31" s="1184"/>
      <c r="AD31" s="1184"/>
      <c r="AE31" s="1184"/>
      <c r="AF31" s="1184"/>
      <c r="AG31" s="1184"/>
      <c r="AH31" s="1184"/>
      <c r="AI31" s="1184"/>
      <c r="AJ31" s="1184"/>
      <c r="AK31" s="1184"/>
      <c r="AL31" s="1184"/>
      <c r="AM31" s="1184"/>
      <c r="AN31" s="1184"/>
      <c r="AO31" s="1184"/>
      <c r="AP31" s="1184"/>
      <c r="AQ31" s="1184"/>
      <c r="AR31" s="1184"/>
      <c r="AS31" s="1184"/>
      <c r="AT31" s="1184"/>
      <c r="AU31" s="118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18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211" t="s">
        <v>94</v>
      </c>
      <c r="AC32" s="1212"/>
      <c r="AD32" s="1212"/>
      <c r="AE32" s="1212"/>
      <c r="AF32" s="1212"/>
      <c r="AG32" s="1212"/>
      <c r="AH32" s="1212"/>
      <c r="AI32" s="1212"/>
      <c r="AJ32" s="1212"/>
      <c r="AK32" s="1212"/>
      <c r="AL32" s="1191"/>
      <c r="AM32" s="1191"/>
      <c r="AN32" s="119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18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189" t="s">
        <v>125</v>
      </c>
      <c r="Q33" s="1190"/>
      <c r="R33" s="1190"/>
      <c r="S33" s="1190"/>
      <c r="T33" s="1190"/>
      <c r="U33" s="1190"/>
      <c r="V33" s="1190"/>
      <c r="W33" s="1190"/>
      <c r="X33" s="1190"/>
      <c r="Y33" s="1190"/>
      <c r="Z33" s="1190"/>
      <c r="AA33" s="1190"/>
      <c r="AB33" s="1190"/>
      <c r="AC33" s="1190"/>
      <c r="AD33" s="1190"/>
      <c r="AE33" s="1190"/>
      <c r="AF33" s="1190"/>
      <c r="AG33" s="1190"/>
      <c r="AH33" s="1190"/>
      <c r="AI33" s="1190"/>
      <c r="AJ33" s="1190"/>
      <c r="AK33" s="1190"/>
      <c r="AL33" s="1190"/>
      <c r="AM33" s="1190"/>
      <c r="AN33" s="1190"/>
      <c r="AO33" s="1190"/>
      <c r="AP33" s="1190"/>
      <c r="AQ33" s="1190"/>
      <c r="AR33" s="1190"/>
      <c r="AS33" s="1190"/>
      <c r="AT33" s="1190"/>
      <c r="AU33" s="119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18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191"/>
      <c r="Q34" s="1191"/>
      <c r="R34" s="1191"/>
      <c r="S34" s="1191"/>
      <c r="T34" s="1191"/>
      <c r="U34" s="1191"/>
      <c r="V34" s="1191"/>
      <c r="W34" s="1191"/>
      <c r="X34" s="1191"/>
      <c r="Y34" s="1191"/>
      <c r="Z34" s="1191"/>
      <c r="AA34" s="1191"/>
      <c r="AB34" s="1191"/>
      <c r="AC34" s="1191"/>
      <c r="AD34" s="1191"/>
      <c r="AE34" s="1191"/>
      <c r="AF34" s="1191"/>
      <c r="AG34" s="1191"/>
      <c r="AH34" s="1191"/>
      <c r="AI34" s="1191"/>
      <c r="AJ34" s="1191"/>
      <c r="AK34" s="1191"/>
      <c r="AL34" s="1192"/>
      <c r="AM34" s="1192"/>
      <c r="AN34" s="1192"/>
      <c r="AO34" s="1192"/>
      <c r="AP34" s="1192"/>
      <c r="AQ34" s="1192"/>
      <c r="AR34" s="1192"/>
      <c r="AS34" s="1192"/>
      <c r="AT34" s="1192"/>
      <c r="AU34" s="1192"/>
      <c r="AV34" s="350"/>
      <c r="AW34" s="350"/>
      <c r="AX34" s="1170" t="s">
        <v>91</v>
      </c>
      <c r="AY34" s="1184"/>
      <c r="AZ34" s="1184"/>
      <c r="BA34" s="1184"/>
      <c r="BB34" s="1184"/>
      <c r="BC34" s="1184"/>
      <c r="BD34" s="1184"/>
      <c r="BE34" s="1184"/>
      <c r="BF34" s="1184"/>
      <c r="BG34" s="1184"/>
      <c r="BH34" s="1184"/>
      <c r="BI34" s="1184"/>
      <c r="BJ34" s="1184"/>
      <c r="BK34" s="1184"/>
      <c r="BL34" s="1184"/>
      <c r="BM34" s="1184"/>
      <c r="BN34" s="1184"/>
      <c r="BP34" s="159"/>
      <c r="BT34" s="351"/>
    </row>
    <row r="35" spans="2:72" ht="19.899999999999999" customHeight="1" x14ac:dyDescent="0.25">
      <c r="B35" s="118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213" t="s">
        <v>90</v>
      </c>
      <c r="X35" s="1184"/>
      <c r="Y35" s="1184"/>
      <c r="Z35" s="1184"/>
      <c r="AA35" s="1184"/>
      <c r="AB35" s="1184"/>
      <c r="AC35" s="1184"/>
      <c r="AD35" s="1184"/>
      <c r="AE35" s="1184"/>
      <c r="AF35" s="1184"/>
      <c r="AG35" s="1184"/>
      <c r="AH35" s="1184"/>
      <c r="AI35" s="1198"/>
      <c r="AJ35" s="1198"/>
      <c r="AK35" s="354"/>
      <c r="AL35" s="1170" t="s">
        <v>91</v>
      </c>
      <c r="AM35" s="1184"/>
      <c r="AN35" s="1184"/>
      <c r="AO35" s="1184"/>
      <c r="AP35" s="1184"/>
      <c r="AQ35" s="1184"/>
      <c r="AR35" s="1184"/>
      <c r="AS35" s="1184"/>
      <c r="AT35" s="1184"/>
      <c r="AU35" s="1184"/>
      <c r="AV35" s="1184"/>
      <c r="AW35" s="1184"/>
      <c r="AX35" s="1184"/>
      <c r="AY35" s="1184"/>
      <c r="AZ35" s="1184"/>
      <c r="BA35" s="1184"/>
      <c r="BB35" s="118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18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203"/>
      <c r="X36" s="1203"/>
      <c r="Y36" s="1203"/>
      <c r="Z36" s="1203"/>
      <c r="AA36" s="1203"/>
      <c r="AB36" s="1203"/>
      <c r="AC36" s="1203"/>
      <c r="AD36" s="1203"/>
      <c r="AE36" s="1203"/>
      <c r="AF36" s="1203"/>
      <c r="AG36" s="1203"/>
      <c r="AH36" s="1203"/>
      <c r="AI36" s="1203"/>
      <c r="AJ36" s="1203"/>
      <c r="AK36" s="413"/>
      <c r="AL36" s="414"/>
      <c r="AM36" s="415"/>
      <c r="AN36" s="416"/>
      <c r="AO36" s="417"/>
      <c r="AP36" s="418"/>
      <c r="AQ36" s="371"/>
      <c r="AR36" s="1197" t="s">
        <v>91</v>
      </c>
      <c r="AS36" s="1202"/>
      <c r="AT36" s="1202"/>
      <c r="AU36" s="1202"/>
      <c r="AV36" s="1202"/>
      <c r="AW36" s="1202"/>
      <c r="AX36" s="1202"/>
      <c r="AY36" s="1202"/>
      <c r="AZ36" s="1202"/>
      <c r="BA36" s="1202"/>
      <c r="BB36" s="1202"/>
      <c r="BC36" s="1203"/>
      <c r="BD36" s="1203"/>
      <c r="BE36" s="1203"/>
      <c r="BF36" s="1203"/>
      <c r="BG36" s="1203"/>
      <c r="BH36" s="120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J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92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ht="45" customHeight="1" x14ac:dyDescent="0.25">
      <c r="D2" s="1219" t="s">
        <v>242</v>
      </c>
      <c r="E2" s="1220"/>
      <c r="F2" s="1220"/>
      <c r="G2" s="1220"/>
      <c r="H2" s="1220"/>
      <c r="I2" s="1220"/>
      <c r="J2" s="1220"/>
      <c r="K2" s="1220"/>
      <c r="L2" s="1220"/>
      <c r="M2" s="1220"/>
      <c r="N2" s="1220"/>
      <c r="O2" s="1220"/>
      <c r="P2" s="1220"/>
      <c r="Q2" s="1220"/>
      <c r="R2" s="1220"/>
      <c r="S2" s="1220"/>
      <c r="T2" s="1221"/>
      <c r="U2" s="1222">
        <v>2025</v>
      </c>
      <c r="V2" s="1223"/>
      <c r="W2" s="1223"/>
      <c r="X2" s="1223"/>
      <c r="Y2" s="1223"/>
      <c r="Z2" s="1223"/>
      <c r="AA2" s="1223"/>
      <c r="AB2" s="1223"/>
      <c r="AC2" s="1223"/>
      <c r="AD2" s="1223"/>
      <c r="AE2" s="1223"/>
      <c r="AF2" s="1223"/>
      <c r="AG2" s="1223"/>
      <c r="AH2" s="1223"/>
      <c r="AI2" s="1223"/>
      <c r="AJ2" s="1223"/>
      <c r="AK2" s="1223"/>
      <c r="AL2" s="1223"/>
      <c r="AM2" s="1223"/>
      <c r="AN2" s="1223"/>
      <c r="AO2" s="1223"/>
      <c r="AP2" s="1223"/>
      <c r="AQ2" s="1223"/>
      <c r="AR2" s="1223"/>
      <c r="AS2" s="1223"/>
      <c r="AT2" s="1223"/>
      <c r="AU2" s="1223"/>
      <c r="AV2" s="1223"/>
      <c r="AW2" s="1223"/>
      <c r="AX2" s="1223"/>
      <c r="AY2" s="1223"/>
      <c r="AZ2" s="1223"/>
      <c r="BA2" s="1223"/>
      <c r="BB2" s="1223"/>
      <c r="BC2" s="1223"/>
      <c r="BD2" s="1223"/>
      <c r="BE2" s="1223"/>
      <c r="BF2" s="1223"/>
      <c r="BG2" s="1223"/>
      <c r="BH2" s="1223"/>
      <c r="BI2" s="1223"/>
      <c r="BJ2" s="1223"/>
      <c r="BK2" s="1223"/>
      <c r="BL2" s="1223"/>
      <c r="BM2" s="1223"/>
      <c r="BN2" s="1223"/>
      <c r="BO2" s="1223"/>
      <c r="BP2" s="1223"/>
      <c r="BQ2" s="1223"/>
      <c r="BR2" s="1223"/>
      <c r="BS2" s="1223"/>
      <c r="BT2" s="1224"/>
      <c r="BU2" s="1308">
        <v>2026</v>
      </c>
      <c r="BV2" s="1309"/>
      <c r="BW2" s="1309"/>
      <c r="BX2" s="1309"/>
      <c r="BY2" s="1309"/>
      <c r="BZ2" s="1309"/>
      <c r="CA2" s="1309"/>
      <c r="CB2" s="1309"/>
      <c r="CC2" s="1309"/>
      <c r="CD2" s="1309"/>
      <c r="CE2" s="1309"/>
      <c r="CF2" s="1309"/>
      <c r="CG2" s="1309"/>
      <c r="CH2" s="1309"/>
      <c r="CI2" s="1309"/>
      <c r="CJ2" s="1309"/>
      <c r="CK2" s="1309"/>
      <c r="CL2" s="1309"/>
      <c r="CM2" s="1309"/>
      <c r="CN2" s="1309"/>
      <c r="CO2" s="1309"/>
      <c r="CP2" s="1309"/>
      <c r="CQ2" s="1309"/>
      <c r="CR2" s="1309"/>
      <c r="CS2" s="1309"/>
      <c r="CT2" s="1309"/>
      <c r="CU2" s="1309"/>
      <c r="CV2" s="1309"/>
      <c r="CW2" s="1309"/>
      <c r="CX2" s="1309"/>
      <c r="CY2" s="1309"/>
      <c r="CZ2" s="1309"/>
      <c r="DA2" s="1309"/>
      <c r="DB2" s="1309"/>
      <c r="DC2" s="1309"/>
      <c r="DD2" s="1309"/>
      <c r="DE2" s="1309"/>
      <c r="DF2" s="1309"/>
      <c r="DG2" s="1309"/>
      <c r="DH2" s="1309"/>
      <c r="DI2" s="1309"/>
      <c r="DJ2" s="1309"/>
      <c r="DK2" s="1309"/>
      <c r="DL2" s="1309"/>
      <c r="DM2" s="1309"/>
      <c r="DN2" s="1309"/>
      <c r="DO2" s="1309"/>
      <c r="DP2" s="1309"/>
      <c r="DQ2" s="1309"/>
      <c r="DR2" s="1309"/>
      <c r="DS2" s="1309"/>
      <c r="DT2" s="1310"/>
      <c r="DU2" s="1317">
        <v>2027</v>
      </c>
      <c r="DV2" s="1318"/>
      <c r="DW2" s="1318"/>
      <c r="DX2" s="1318"/>
      <c r="DY2" s="1318"/>
      <c r="DZ2" s="1318"/>
      <c r="EA2" s="1318"/>
      <c r="EB2" s="1318"/>
      <c r="EC2" s="1318"/>
      <c r="ED2" s="1318"/>
      <c r="EE2" s="1318"/>
      <c r="EF2" s="1318"/>
      <c r="EG2" s="1318"/>
      <c r="EH2" s="1318"/>
      <c r="EI2" s="1318"/>
      <c r="EJ2" s="1318"/>
      <c r="EK2" s="1318"/>
      <c r="EL2" s="1318"/>
      <c r="EM2" s="1318"/>
      <c r="EN2" s="1318"/>
      <c r="EO2" s="1318"/>
      <c r="EP2" s="1318"/>
      <c r="EQ2" s="1318"/>
      <c r="ER2" s="1318"/>
      <c r="ES2" s="1318"/>
      <c r="ET2" s="1318"/>
      <c r="EU2" s="1318"/>
      <c r="EV2" s="1318"/>
      <c r="EW2" s="1318"/>
      <c r="EX2" s="1318"/>
      <c r="EY2" s="1318"/>
      <c r="EZ2" s="1318"/>
      <c r="FA2" s="1318"/>
      <c r="FB2" s="1318"/>
      <c r="FC2" s="1318"/>
      <c r="FD2" s="1318"/>
      <c r="FE2" s="1318"/>
      <c r="FF2" s="1318"/>
      <c r="FG2" s="1318"/>
      <c r="FH2" s="1318"/>
      <c r="FI2" s="1318"/>
      <c r="FJ2" s="1318"/>
      <c r="FK2" s="1318"/>
      <c r="FL2" s="1318"/>
      <c r="FM2" s="1318"/>
      <c r="FN2" s="1318"/>
      <c r="FO2" s="1318"/>
      <c r="FP2" s="1318"/>
      <c r="FQ2" s="1318"/>
      <c r="FR2" s="1318"/>
      <c r="FS2" s="1318"/>
      <c r="FT2" s="1319"/>
    </row>
    <row r="3" spans="1:176" ht="32.450000000000003" customHeight="1" thickBot="1" x14ac:dyDescent="0.3">
      <c r="A3" s="782" t="s">
        <v>241</v>
      </c>
      <c r="C3" s="793"/>
      <c r="D3" s="1218" t="s">
        <v>9</v>
      </c>
      <c r="E3" s="1218"/>
      <c r="F3" s="1218"/>
      <c r="G3" s="1218"/>
      <c r="H3" s="1218" t="s">
        <v>10</v>
      </c>
      <c r="I3" s="1218"/>
      <c r="J3" s="1218"/>
      <c r="K3" s="1218"/>
      <c r="L3" s="1218"/>
      <c r="M3" s="1218" t="s">
        <v>11</v>
      </c>
      <c r="N3" s="1218"/>
      <c r="O3" s="1218"/>
      <c r="P3" s="1218"/>
      <c r="Q3" s="1215" t="s">
        <v>12</v>
      </c>
      <c r="R3" s="1216"/>
      <c r="S3" s="1216"/>
      <c r="T3" s="1217"/>
      <c r="U3" s="1218" t="s">
        <v>1</v>
      </c>
      <c r="V3" s="1218"/>
      <c r="W3" s="1218"/>
      <c r="X3" s="1218"/>
      <c r="Y3" s="1218"/>
      <c r="Z3" s="1215" t="s">
        <v>2</v>
      </c>
      <c r="AA3" s="1216"/>
      <c r="AB3" s="1216"/>
      <c r="AC3" s="1217"/>
      <c r="AD3" s="1215" t="s">
        <v>3</v>
      </c>
      <c r="AE3" s="1216"/>
      <c r="AF3" s="1216"/>
      <c r="AG3" s="1217"/>
      <c r="AH3" s="1215" t="s">
        <v>4</v>
      </c>
      <c r="AI3" s="1216"/>
      <c r="AJ3" s="1216"/>
      <c r="AK3" s="1216"/>
      <c r="AL3" s="1217"/>
      <c r="AM3" s="1215" t="s">
        <v>5</v>
      </c>
      <c r="AN3" s="1216"/>
      <c r="AO3" s="1216"/>
      <c r="AP3" s="1217"/>
      <c r="AQ3" s="1215" t="s">
        <v>6</v>
      </c>
      <c r="AR3" s="1216"/>
      <c r="AS3" s="1216"/>
      <c r="AT3" s="1216"/>
      <c r="AU3" s="1217"/>
      <c r="AV3" s="1215" t="s">
        <v>7</v>
      </c>
      <c r="AW3" s="1216"/>
      <c r="AX3" s="1216"/>
      <c r="AY3" s="1217"/>
      <c r="AZ3" s="1215" t="s">
        <v>8</v>
      </c>
      <c r="BA3" s="1216"/>
      <c r="BB3" s="1216"/>
      <c r="BC3" s="1217"/>
      <c r="BD3" s="1218" t="s">
        <v>9</v>
      </c>
      <c r="BE3" s="1218"/>
      <c r="BF3" s="1218"/>
      <c r="BG3" s="1218"/>
      <c r="BH3" s="1218" t="s">
        <v>10</v>
      </c>
      <c r="BI3" s="1218"/>
      <c r="BJ3" s="1218"/>
      <c r="BK3" s="1218"/>
      <c r="BL3" s="1218"/>
      <c r="BM3" s="1218" t="s">
        <v>11</v>
      </c>
      <c r="BN3" s="1218"/>
      <c r="BO3" s="1218"/>
      <c r="BP3" s="1218"/>
      <c r="BQ3" s="1215" t="s">
        <v>12</v>
      </c>
      <c r="BR3" s="1216"/>
      <c r="BS3" s="1216"/>
      <c r="BT3" s="1217"/>
      <c r="BU3" s="1218" t="s">
        <v>1</v>
      </c>
      <c r="BV3" s="1218"/>
      <c r="BW3" s="1218"/>
      <c r="BX3" s="1218"/>
      <c r="BY3" s="1218"/>
      <c r="BZ3" s="1215" t="s">
        <v>2</v>
      </c>
      <c r="CA3" s="1216"/>
      <c r="CB3" s="1216"/>
      <c r="CC3" s="1217"/>
      <c r="CD3" s="1215" t="s">
        <v>3</v>
      </c>
      <c r="CE3" s="1216"/>
      <c r="CF3" s="1216"/>
      <c r="CG3" s="1217"/>
      <c r="CH3" s="1215" t="s">
        <v>4</v>
      </c>
      <c r="CI3" s="1216"/>
      <c r="CJ3" s="1216"/>
      <c r="CK3" s="1216"/>
      <c r="CL3" s="1217"/>
      <c r="CM3" s="1215" t="s">
        <v>5</v>
      </c>
      <c r="CN3" s="1216"/>
      <c r="CO3" s="1216"/>
      <c r="CP3" s="1217"/>
      <c r="CQ3" s="1215" t="s">
        <v>6</v>
      </c>
      <c r="CR3" s="1216"/>
      <c r="CS3" s="1216"/>
      <c r="CT3" s="1216"/>
      <c r="CU3" s="1217"/>
      <c r="CV3" s="1215" t="s">
        <v>7</v>
      </c>
      <c r="CW3" s="1216"/>
      <c r="CX3" s="1216"/>
      <c r="CY3" s="1217"/>
      <c r="CZ3" s="1215" t="s">
        <v>8</v>
      </c>
      <c r="DA3" s="1216"/>
      <c r="DB3" s="1216"/>
      <c r="DC3" s="1217"/>
      <c r="DD3" s="1218" t="s">
        <v>9</v>
      </c>
      <c r="DE3" s="1218"/>
      <c r="DF3" s="1218"/>
      <c r="DG3" s="1218"/>
      <c r="DH3" s="1218" t="s">
        <v>10</v>
      </c>
      <c r="DI3" s="1218"/>
      <c r="DJ3" s="1218"/>
      <c r="DK3" s="1218"/>
      <c r="DL3" s="1218"/>
      <c r="DM3" s="1218" t="s">
        <v>11</v>
      </c>
      <c r="DN3" s="1218"/>
      <c r="DO3" s="1218"/>
      <c r="DP3" s="1218"/>
      <c r="DQ3" s="1215" t="s">
        <v>12</v>
      </c>
      <c r="DR3" s="1216"/>
      <c r="DS3" s="1216"/>
      <c r="DT3" s="1217"/>
      <c r="DU3" s="1218" t="s">
        <v>1</v>
      </c>
      <c r="DV3" s="1218"/>
      <c r="DW3" s="1218"/>
      <c r="DX3" s="1218"/>
      <c r="DY3" s="1218"/>
      <c r="DZ3" s="1215" t="s">
        <v>2</v>
      </c>
      <c r="EA3" s="1216"/>
      <c r="EB3" s="1216"/>
      <c r="EC3" s="1217"/>
      <c r="ED3" s="1215" t="s">
        <v>3</v>
      </c>
      <c r="EE3" s="1216"/>
      <c r="EF3" s="1216"/>
      <c r="EG3" s="1217"/>
      <c r="EH3" s="1215" t="s">
        <v>4</v>
      </c>
      <c r="EI3" s="1216"/>
      <c r="EJ3" s="1216"/>
      <c r="EK3" s="1216"/>
      <c r="EL3" s="1217"/>
      <c r="EM3" s="1215" t="s">
        <v>5</v>
      </c>
      <c r="EN3" s="1216"/>
      <c r="EO3" s="1216"/>
      <c r="EP3" s="1217"/>
      <c r="EQ3" s="1215" t="s">
        <v>6</v>
      </c>
      <c r="ER3" s="1216"/>
      <c r="ES3" s="1216"/>
      <c r="ET3" s="1216"/>
      <c r="EU3" s="1217"/>
      <c r="EV3" s="1215" t="s">
        <v>7</v>
      </c>
      <c r="EW3" s="1216"/>
      <c r="EX3" s="1216"/>
      <c r="EY3" s="1217"/>
      <c r="EZ3" s="1215" t="s">
        <v>8</v>
      </c>
      <c r="FA3" s="1216"/>
      <c r="FB3" s="1216"/>
      <c r="FC3" s="1217"/>
      <c r="FD3" s="1218" t="s">
        <v>9</v>
      </c>
      <c r="FE3" s="1218"/>
      <c r="FF3" s="1218"/>
      <c r="FG3" s="1218"/>
      <c r="FH3" s="1218" t="s">
        <v>10</v>
      </c>
      <c r="FI3" s="1218"/>
      <c r="FJ3" s="1218"/>
      <c r="FK3" s="1218"/>
      <c r="FL3" s="1218"/>
      <c r="FM3" s="1218" t="s">
        <v>11</v>
      </c>
      <c r="FN3" s="1218"/>
      <c r="FO3" s="1218"/>
      <c r="FP3" s="1218"/>
      <c r="FQ3" s="1215" t="s">
        <v>12</v>
      </c>
      <c r="FR3" s="1216"/>
      <c r="FS3" s="1216"/>
      <c r="FT3" s="1217"/>
    </row>
    <row r="4" spans="1:176" ht="30" customHeight="1" thickBot="1" x14ac:dyDescent="0.3">
      <c r="B4" s="783" t="s">
        <v>243</v>
      </c>
      <c r="C4" s="794" t="s">
        <v>162</v>
      </c>
      <c r="D4" s="795" t="s">
        <v>48</v>
      </c>
      <c r="E4" s="795" t="s">
        <v>49</v>
      </c>
      <c r="F4" s="795" t="s">
        <v>50</v>
      </c>
      <c r="G4" s="795" t="s">
        <v>51</v>
      </c>
      <c r="H4" s="795" t="s">
        <v>52</v>
      </c>
      <c r="I4" s="795" t="s">
        <v>53</v>
      </c>
      <c r="J4" s="795" t="s">
        <v>54</v>
      </c>
      <c r="K4" s="795" t="s">
        <v>55</v>
      </c>
      <c r="L4" s="795" t="s">
        <v>56</v>
      </c>
      <c r="M4" s="795" t="s">
        <v>57</v>
      </c>
      <c r="N4" s="795" t="s">
        <v>58</v>
      </c>
      <c r="O4" s="795" t="s">
        <v>59</v>
      </c>
      <c r="P4" s="795" t="s">
        <v>60</v>
      </c>
      <c r="Q4" s="795" t="s">
        <v>61</v>
      </c>
      <c r="R4" s="795" t="s">
        <v>62</v>
      </c>
      <c r="S4" s="795" t="s">
        <v>63</v>
      </c>
      <c r="T4" s="795" t="s">
        <v>64</v>
      </c>
      <c r="U4" s="795" t="s">
        <v>13</v>
      </c>
      <c r="V4" s="795" t="s">
        <v>14</v>
      </c>
      <c r="W4" s="795" t="s">
        <v>15</v>
      </c>
      <c r="X4" s="795" t="s">
        <v>16</v>
      </c>
      <c r="Y4" s="795" t="s">
        <v>17</v>
      </c>
      <c r="Z4" s="795" t="s">
        <v>18</v>
      </c>
      <c r="AA4" s="795" t="s">
        <v>19</v>
      </c>
      <c r="AB4" s="795" t="s">
        <v>20</v>
      </c>
      <c r="AC4" s="795" t="s">
        <v>21</v>
      </c>
      <c r="AD4" s="795" t="s">
        <v>22</v>
      </c>
      <c r="AE4" s="795" t="s">
        <v>23</v>
      </c>
      <c r="AF4" s="795" t="s">
        <v>24</v>
      </c>
      <c r="AG4" s="795" t="s">
        <v>25</v>
      </c>
      <c r="AH4" s="795" t="s">
        <v>26</v>
      </c>
      <c r="AI4" s="795" t="s">
        <v>27</v>
      </c>
      <c r="AJ4" s="795" t="s">
        <v>28</v>
      </c>
      <c r="AK4" s="795" t="s">
        <v>29</v>
      </c>
      <c r="AL4" s="795" t="s">
        <v>30</v>
      </c>
      <c r="AM4" s="795" t="s">
        <v>31</v>
      </c>
      <c r="AN4" s="795" t="s">
        <v>32</v>
      </c>
      <c r="AO4" s="795" t="s">
        <v>33</v>
      </c>
      <c r="AP4" s="795" t="s">
        <v>34</v>
      </c>
      <c r="AQ4" s="795" t="s">
        <v>35</v>
      </c>
      <c r="AR4" s="795" t="s">
        <v>36</v>
      </c>
      <c r="AS4" s="795" t="s">
        <v>37</v>
      </c>
      <c r="AT4" s="795" t="s">
        <v>38</v>
      </c>
      <c r="AU4" s="795" t="s">
        <v>39</v>
      </c>
      <c r="AV4" s="795" t="s">
        <v>40</v>
      </c>
      <c r="AW4" s="795" t="s">
        <v>41</v>
      </c>
      <c r="AX4" s="795" t="s">
        <v>42</v>
      </c>
      <c r="AY4" s="795" t="s">
        <v>43</v>
      </c>
      <c r="AZ4" s="795" t="s">
        <v>44</v>
      </c>
      <c r="BA4" s="795" t="s">
        <v>45</v>
      </c>
      <c r="BB4" s="795" t="s">
        <v>46</v>
      </c>
      <c r="BC4" s="795" t="s">
        <v>47</v>
      </c>
      <c r="BD4" s="795" t="s">
        <v>48</v>
      </c>
      <c r="BE4" s="795" t="s">
        <v>49</v>
      </c>
      <c r="BF4" s="795" t="s">
        <v>50</v>
      </c>
      <c r="BG4" s="795" t="s">
        <v>51</v>
      </c>
      <c r="BH4" s="795" t="s">
        <v>52</v>
      </c>
      <c r="BI4" s="795" t="s">
        <v>53</v>
      </c>
      <c r="BJ4" s="795" t="s">
        <v>54</v>
      </c>
      <c r="BK4" s="795" t="s">
        <v>55</v>
      </c>
      <c r="BL4" s="795" t="s">
        <v>56</v>
      </c>
      <c r="BM4" s="795" t="s">
        <v>57</v>
      </c>
      <c r="BN4" s="795" t="s">
        <v>58</v>
      </c>
      <c r="BO4" s="795" t="s">
        <v>59</v>
      </c>
      <c r="BP4" s="795" t="s">
        <v>60</v>
      </c>
      <c r="BQ4" s="795" t="s">
        <v>61</v>
      </c>
      <c r="BR4" s="795" t="s">
        <v>62</v>
      </c>
      <c r="BS4" s="795" t="s">
        <v>63</v>
      </c>
      <c r="BT4" s="795" t="s">
        <v>64</v>
      </c>
      <c r="BU4" s="795" t="s">
        <v>13</v>
      </c>
      <c r="BV4" s="795" t="s">
        <v>14</v>
      </c>
      <c r="BW4" s="795" t="s">
        <v>15</v>
      </c>
      <c r="BX4" s="795" t="s">
        <v>16</v>
      </c>
      <c r="BY4" s="795" t="s">
        <v>17</v>
      </c>
      <c r="BZ4" s="795" t="s">
        <v>18</v>
      </c>
      <c r="CA4" s="795" t="s">
        <v>19</v>
      </c>
      <c r="CB4" s="795" t="s">
        <v>20</v>
      </c>
      <c r="CC4" s="795" t="s">
        <v>21</v>
      </c>
      <c r="CD4" s="795" t="s">
        <v>22</v>
      </c>
      <c r="CE4" s="795" t="s">
        <v>23</v>
      </c>
      <c r="CF4" s="795" t="s">
        <v>24</v>
      </c>
      <c r="CG4" s="795" t="s">
        <v>25</v>
      </c>
      <c r="CH4" s="795" t="s">
        <v>26</v>
      </c>
      <c r="CI4" s="795" t="s">
        <v>27</v>
      </c>
      <c r="CJ4" s="795" t="s">
        <v>28</v>
      </c>
      <c r="CK4" s="795" t="s">
        <v>29</v>
      </c>
      <c r="CL4" s="795" t="s">
        <v>30</v>
      </c>
      <c r="CM4" s="795" t="s">
        <v>31</v>
      </c>
      <c r="CN4" s="795" t="s">
        <v>32</v>
      </c>
      <c r="CO4" s="795" t="s">
        <v>33</v>
      </c>
      <c r="CP4" s="795" t="s">
        <v>34</v>
      </c>
      <c r="CQ4" s="795" t="s">
        <v>35</v>
      </c>
      <c r="CR4" s="795" t="s">
        <v>36</v>
      </c>
      <c r="CS4" s="795" t="s">
        <v>37</v>
      </c>
      <c r="CT4" s="795" t="s">
        <v>38</v>
      </c>
      <c r="CU4" s="795" t="s">
        <v>39</v>
      </c>
      <c r="CV4" s="795" t="s">
        <v>40</v>
      </c>
      <c r="CW4" s="795" t="s">
        <v>41</v>
      </c>
      <c r="CX4" s="795" t="s">
        <v>42</v>
      </c>
      <c r="CY4" s="795" t="s">
        <v>43</v>
      </c>
      <c r="CZ4" s="795" t="s">
        <v>44</v>
      </c>
      <c r="DA4" s="795" t="s">
        <v>45</v>
      </c>
      <c r="DB4" s="795" t="s">
        <v>46</v>
      </c>
      <c r="DC4" s="795" t="s">
        <v>47</v>
      </c>
      <c r="DD4" s="795" t="s">
        <v>48</v>
      </c>
      <c r="DE4" s="795" t="s">
        <v>49</v>
      </c>
      <c r="DF4" s="795" t="s">
        <v>50</v>
      </c>
      <c r="DG4" s="795" t="s">
        <v>51</v>
      </c>
      <c r="DH4" s="795" t="s">
        <v>52</v>
      </c>
      <c r="DI4" s="795" t="s">
        <v>53</v>
      </c>
      <c r="DJ4" s="795" t="s">
        <v>54</v>
      </c>
      <c r="DK4" s="795" t="s">
        <v>55</v>
      </c>
      <c r="DL4" s="795" t="s">
        <v>56</v>
      </c>
      <c r="DM4" s="795" t="s">
        <v>57</v>
      </c>
      <c r="DN4" s="795" t="s">
        <v>58</v>
      </c>
      <c r="DO4" s="795" t="s">
        <v>59</v>
      </c>
      <c r="DP4" s="795" t="s">
        <v>60</v>
      </c>
      <c r="DQ4" s="795" t="s">
        <v>61</v>
      </c>
      <c r="DR4" s="795" t="s">
        <v>62</v>
      </c>
      <c r="DS4" s="795" t="s">
        <v>63</v>
      </c>
      <c r="DT4" s="795" t="s">
        <v>64</v>
      </c>
      <c r="DU4" s="795" t="s">
        <v>13</v>
      </c>
      <c r="DV4" s="795" t="s">
        <v>14</v>
      </c>
      <c r="DW4" s="795" t="s">
        <v>15</v>
      </c>
      <c r="DX4" s="795" t="s">
        <v>16</v>
      </c>
      <c r="DY4" s="795" t="s">
        <v>17</v>
      </c>
      <c r="DZ4" s="795" t="s">
        <v>18</v>
      </c>
      <c r="EA4" s="795" t="s">
        <v>19</v>
      </c>
      <c r="EB4" s="795" t="s">
        <v>20</v>
      </c>
      <c r="EC4" s="795" t="s">
        <v>21</v>
      </c>
      <c r="ED4" s="795" t="s">
        <v>22</v>
      </c>
      <c r="EE4" s="795" t="s">
        <v>23</v>
      </c>
      <c r="EF4" s="795" t="s">
        <v>24</v>
      </c>
      <c r="EG4" s="795" t="s">
        <v>25</v>
      </c>
      <c r="EH4" s="795" t="s">
        <v>26</v>
      </c>
      <c r="EI4" s="795" t="s">
        <v>27</v>
      </c>
      <c r="EJ4" s="795" t="s">
        <v>28</v>
      </c>
      <c r="EK4" s="795" t="s">
        <v>29</v>
      </c>
      <c r="EL4" s="795" t="s">
        <v>30</v>
      </c>
      <c r="EM4" s="795" t="s">
        <v>31</v>
      </c>
      <c r="EN4" s="795" t="s">
        <v>32</v>
      </c>
      <c r="EO4" s="795" t="s">
        <v>33</v>
      </c>
      <c r="EP4" s="795" t="s">
        <v>34</v>
      </c>
      <c r="EQ4" s="795" t="s">
        <v>35</v>
      </c>
      <c r="ER4" s="795" t="s">
        <v>36</v>
      </c>
      <c r="ES4" s="795" t="s">
        <v>37</v>
      </c>
      <c r="ET4" s="795" t="s">
        <v>38</v>
      </c>
      <c r="EU4" s="795" t="s">
        <v>39</v>
      </c>
      <c r="EV4" s="795" t="s">
        <v>40</v>
      </c>
      <c r="EW4" s="795" t="s">
        <v>41</v>
      </c>
      <c r="EX4" s="795" t="s">
        <v>42</v>
      </c>
      <c r="EY4" s="795" t="s">
        <v>43</v>
      </c>
      <c r="EZ4" s="795" t="s">
        <v>44</v>
      </c>
      <c r="FA4" s="795" t="s">
        <v>45</v>
      </c>
      <c r="FB4" s="795" t="s">
        <v>46</v>
      </c>
      <c r="FC4" s="795" t="s">
        <v>47</v>
      </c>
      <c r="FD4" s="795" t="s">
        <v>48</v>
      </c>
      <c r="FE4" s="795" t="s">
        <v>49</v>
      </c>
      <c r="FF4" s="795" t="s">
        <v>50</v>
      </c>
      <c r="FG4" s="795" t="s">
        <v>51</v>
      </c>
      <c r="FH4" s="795" t="s">
        <v>52</v>
      </c>
      <c r="FI4" s="795" t="s">
        <v>53</v>
      </c>
      <c r="FJ4" s="795" t="s">
        <v>54</v>
      </c>
      <c r="FK4" s="795" t="s">
        <v>55</v>
      </c>
      <c r="FL4" s="795" t="s">
        <v>56</v>
      </c>
      <c r="FM4" s="795" t="s">
        <v>57</v>
      </c>
      <c r="FN4" s="795" t="s">
        <v>58</v>
      </c>
      <c r="FO4" s="795" t="s">
        <v>59</v>
      </c>
      <c r="FP4" s="795" t="s">
        <v>60</v>
      </c>
      <c r="FQ4" s="795" t="s">
        <v>61</v>
      </c>
      <c r="FR4" s="795" t="s">
        <v>62</v>
      </c>
      <c r="FS4" s="795" t="s">
        <v>63</v>
      </c>
      <c r="FT4" s="795" t="s">
        <v>64</v>
      </c>
    </row>
    <row r="5" spans="1:176" ht="19.899999999999999" customHeight="1" thickTop="1" thickBot="1" x14ac:dyDescent="0.3">
      <c r="B5" s="1225">
        <v>1</v>
      </c>
      <c r="C5" s="796">
        <v>1</v>
      </c>
      <c r="D5" s="797"/>
      <c r="E5" s="798"/>
      <c r="F5" s="798"/>
      <c r="G5" s="799"/>
      <c r="H5" s="800"/>
      <c r="I5" s="801"/>
      <c r="J5" s="801"/>
      <c r="K5" s="801"/>
      <c r="L5" s="802"/>
      <c r="M5" s="801"/>
      <c r="N5" s="801"/>
      <c r="O5" s="1228" t="s">
        <v>97</v>
      </c>
      <c r="P5" s="1229"/>
      <c r="Q5" s="1229"/>
      <c r="R5" s="1230"/>
      <c r="S5" s="1230"/>
      <c r="T5" s="1230"/>
      <c r="U5" s="1230"/>
      <c r="V5" s="1230"/>
      <c r="W5" s="1230"/>
      <c r="X5" s="1230"/>
      <c r="Y5" s="1230"/>
      <c r="Z5" s="1230"/>
      <c r="AA5" s="1230"/>
      <c r="AB5" s="1230"/>
      <c r="AC5" s="1230"/>
      <c r="AD5" s="1230"/>
      <c r="AE5" s="1230"/>
      <c r="AF5" s="1230"/>
      <c r="AG5" s="1230"/>
      <c r="AH5" s="1230"/>
      <c r="AI5" s="1230"/>
      <c r="AJ5" s="1230"/>
      <c r="AK5" s="1230"/>
      <c r="AL5" s="1230"/>
      <c r="AM5" s="1230"/>
      <c r="AN5" s="1230"/>
      <c r="AO5" s="1230"/>
      <c r="AP5" s="1230"/>
      <c r="AQ5" s="1230"/>
      <c r="AR5" s="1230"/>
      <c r="AS5" s="1230"/>
      <c r="AT5" s="1230"/>
      <c r="AU5" s="1230"/>
      <c r="AV5" s="1231"/>
      <c r="AW5" s="798"/>
      <c r="AX5" s="798"/>
      <c r="AY5" s="803"/>
      <c r="AZ5" s="1302" t="s">
        <v>462</v>
      </c>
      <c r="BA5" s="1303"/>
      <c r="BB5" s="1303"/>
      <c r="BC5" s="1303"/>
      <c r="BD5" s="1303"/>
      <c r="BE5" s="1303"/>
      <c r="BF5" s="1303"/>
      <c r="BG5" s="1303"/>
      <c r="BH5" s="1303"/>
      <c r="BI5" s="1303"/>
      <c r="BJ5" s="1303"/>
      <c r="BK5" s="1303"/>
      <c r="BL5" s="1320"/>
      <c r="BM5" s="804"/>
      <c r="BN5" s="804"/>
      <c r="BO5" s="804"/>
      <c r="BP5" s="1270" t="s">
        <v>125</v>
      </c>
      <c r="BQ5" s="1271"/>
      <c r="BR5" s="1271"/>
      <c r="BS5" s="1271"/>
      <c r="BT5" s="1271"/>
      <c r="BU5" s="1271"/>
      <c r="BV5" s="1271"/>
      <c r="BW5" s="1271"/>
      <c r="BX5" s="1271"/>
      <c r="BY5" s="1271"/>
      <c r="BZ5" s="1271"/>
      <c r="CA5" s="1271"/>
      <c r="CB5" s="1271"/>
      <c r="CC5" s="1271"/>
      <c r="CD5" s="1271"/>
      <c r="CE5" s="1271"/>
      <c r="CF5" s="1271"/>
      <c r="CG5" s="1271"/>
      <c r="CH5" s="1271"/>
      <c r="CI5" s="1271"/>
      <c r="CJ5" s="1271"/>
      <c r="CK5" s="1271"/>
      <c r="CL5" s="1271"/>
      <c r="CM5" s="1271"/>
      <c r="CN5" s="1271"/>
      <c r="CO5" s="1271"/>
      <c r="CP5" s="1271"/>
      <c r="CQ5" s="1271"/>
      <c r="CR5" s="1271"/>
      <c r="CS5" s="1271"/>
      <c r="CT5" s="1271"/>
      <c r="CU5" s="1271"/>
      <c r="CV5" s="798"/>
      <c r="CW5" s="798"/>
      <c r="CX5" s="798"/>
      <c r="CY5" s="803"/>
      <c r="CZ5" s="798"/>
      <c r="DA5" s="798"/>
      <c r="DB5" s="798"/>
      <c r="DC5" s="798"/>
      <c r="DD5" s="797"/>
      <c r="DE5" s="1232" t="s">
        <v>80</v>
      </c>
      <c r="DF5" s="1232"/>
      <c r="DG5" s="1232"/>
      <c r="DH5" s="1232"/>
      <c r="DI5" s="1232"/>
      <c r="DJ5" s="1232"/>
      <c r="DK5" s="1232"/>
      <c r="DL5" s="1232"/>
      <c r="DM5" s="1232"/>
      <c r="DN5" s="1232"/>
      <c r="DO5" s="1232"/>
      <c r="DP5" s="1232"/>
      <c r="DQ5" s="1232"/>
      <c r="DR5" s="804"/>
      <c r="DS5" s="804"/>
      <c r="DT5" s="806"/>
      <c r="DU5" s="804"/>
      <c r="DV5" s="804"/>
      <c r="DW5" s="804"/>
      <c r="DX5" s="804"/>
      <c r="DY5" s="804"/>
      <c r="DZ5" s="807"/>
      <c r="EA5" s="804"/>
      <c r="EB5" s="804"/>
      <c r="EC5" s="806"/>
      <c r="ED5" s="804"/>
      <c r="EE5" s="804"/>
      <c r="EF5" s="804"/>
      <c r="EG5" s="804"/>
      <c r="EH5" s="807"/>
      <c r="EI5" s="804"/>
      <c r="EJ5" s="804"/>
      <c r="EK5" s="804"/>
      <c r="EL5" s="806"/>
      <c r="EM5" s="804"/>
      <c r="EN5" s="804"/>
      <c r="EO5" s="804"/>
      <c r="EP5" s="804"/>
      <c r="EQ5" s="807"/>
      <c r="ER5" s="804"/>
      <c r="ES5" s="804"/>
      <c r="ET5" s="804"/>
      <c r="EU5" s="806"/>
      <c r="EV5" s="804"/>
      <c r="EW5" s="804"/>
      <c r="EX5" s="804"/>
      <c r="EY5" s="804"/>
      <c r="EZ5" s="807"/>
      <c r="FA5" s="804"/>
      <c r="FB5" s="804"/>
      <c r="FC5" s="806"/>
      <c r="FD5" s="804"/>
      <c r="FE5" s="804"/>
      <c r="FF5" s="804"/>
      <c r="FG5" s="804"/>
      <c r="FH5" s="807"/>
      <c r="FI5" s="804"/>
      <c r="FJ5" s="804"/>
      <c r="FK5" s="804"/>
      <c r="FL5" s="806"/>
      <c r="FM5" s="804"/>
      <c r="FN5" s="804"/>
      <c r="FO5" s="804"/>
      <c r="FP5" s="806"/>
      <c r="FQ5" s="804"/>
      <c r="FR5" s="804"/>
      <c r="FS5" s="804"/>
      <c r="FT5" s="806"/>
    </row>
    <row r="6" spans="1:176" ht="19.899999999999999" customHeight="1" thickTop="1" x14ac:dyDescent="0.25">
      <c r="B6" s="1226"/>
      <c r="C6" s="808">
        <f>1+C5</f>
        <v>2</v>
      </c>
      <c r="D6" s="809"/>
      <c r="E6" s="1232" t="s">
        <v>80</v>
      </c>
      <c r="F6" s="1232"/>
      <c r="G6" s="1232"/>
      <c r="H6" s="1232"/>
      <c r="I6" s="1232"/>
      <c r="J6" s="1232"/>
      <c r="K6" s="1232"/>
      <c r="L6" s="1232"/>
      <c r="M6" s="1232"/>
      <c r="N6" s="1232"/>
      <c r="O6" s="1232"/>
      <c r="P6" s="1232"/>
      <c r="Q6" s="1232"/>
      <c r="R6" s="784"/>
      <c r="S6" s="784"/>
      <c r="T6" s="810"/>
      <c r="U6" s="784"/>
      <c r="V6" s="784"/>
      <c r="W6" s="1233" t="s">
        <v>134</v>
      </c>
      <c r="X6" s="1233"/>
      <c r="Y6" s="1233"/>
      <c r="Z6" s="1233"/>
      <c r="AA6" s="1233"/>
      <c r="AB6" s="1233"/>
      <c r="AC6" s="1233"/>
      <c r="AD6" s="1233"/>
      <c r="AE6" s="1233"/>
      <c r="AF6" s="1233"/>
      <c r="AG6" s="1233"/>
      <c r="AH6" s="1233"/>
      <c r="AI6" s="1233"/>
      <c r="AJ6" s="1233"/>
      <c r="AK6" s="1233"/>
      <c r="AL6" s="811"/>
      <c r="AM6" s="812"/>
      <c r="AN6" s="812"/>
      <c r="AO6" s="812"/>
      <c r="AP6" s="811"/>
      <c r="AQ6" s="812"/>
      <c r="AR6" s="812"/>
      <c r="AS6" s="812"/>
      <c r="AT6" s="812"/>
      <c r="AU6" s="811"/>
      <c r="AV6" s="812"/>
      <c r="AW6" s="813"/>
      <c r="AX6" s="813"/>
      <c r="AY6" s="814"/>
      <c r="AZ6" s="1304"/>
      <c r="BA6" s="1305"/>
      <c r="BB6" s="1305"/>
      <c r="BC6" s="1305"/>
      <c r="BD6" s="1305"/>
      <c r="BE6" s="1305"/>
      <c r="BF6" s="1305"/>
      <c r="BG6" s="1305"/>
      <c r="BH6" s="1305"/>
      <c r="BI6" s="1305"/>
      <c r="BJ6" s="1305"/>
      <c r="BK6" s="1305"/>
      <c r="BL6" s="1321"/>
      <c r="BP6" s="1273"/>
      <c r="BQ6" s="1273"/>
      <c r="BR6" s="1273"/>
      <c r="BS6" s="1273"/>
      <c r="BT6" s="1273"/>
      <c r="BU6" s="1273"/>
      <c r="BV6" s="1273"/>
      <c r="BW6" s="1273"/>
      <c r="BX6" s="1273"/>
      <c r="BY6" s="1273"/>
      <c r="BZ6" s="1273"/>
      <c r="CA6" s="1273"/>
      <c r="CB6" s="1273"/>
      <c r="CC6" s="1273"/>
      <c r="CD6" s="1273"/>
      <c r="CE6" s="1273"/>
      <c r="CF6" s="1273"/>
      <c r="CG6" s="1273"/>
      <c r="CH6" s="1273"/>
      <c r="CI6" s="1273"/>
      <c r="CJ6" s="1273"/>
      <c r="CK6" s="1273"/>
      <c r="CL6" s="1218"/>
      <c r="CM6" s="1218"/>
      <c r="CN6" s="1218"/>
      <c r="CO6" s="1218"/>
      <c r="CP6" s="1218"/>
      <c r="CQ6" s="1218"/>
      <c r="CR6" s="1218"/>
      <c r="CS6" s="1218"/>
      <c r="CT6" s="1218"/>
      <c r="CU6" s="1218"/>
      <c r="CV6" s="813"/>
      <c r="CW6" s="813"/>
      <c r="CX6" s="1283" t="s">
        <v>91</v>
      </c>
      <c r="CY6" s="1258"/>
      <c r="CZ6" s="1258"/>
      <c r="DA6" s="1258"/>
      <c r="DB6" s="1258"/>
      <c r="DC6" s="1258"/>
      <c r="DD6" s="1258"/>
      <c r="DE6" s="1258"/>
      <c r="DF6" s="1258"/>
      <c r="DG6" s="1258"/>
      <c r="DH6" s="1258"/>
      <c r="DI6" s="1258"/>
      <c r="DJ6" s="1258"/>
      <c r="DK6" s="1258"/>
      <c r="DL6" s="1258"/>
      <c r="DM6" s="1258"/>
      <c r="DN6" s="1258"/>
      <c r="DO6" s="1228" t="s">
        <v>97</v>
      </c>
      <c r="DP6" s="1229"/>
      <c r="DQ6" s="1229"/>
      <c r="DR6" s="1230"/>
      <c r="DS6" s="1230"/>
      <c r="DT6" s="1230"/>
      <c r="DU6" s="1230"/>
      <c r="DV6" s="1230"/>
      <c r="DW6" s="1230"/>
      <c r="DX6" s="1230"/>
      <c r="DY6" s="1230"/>
      <c r="DZ6" s="1230"/>
      <c r="EA6" s="1230"/>
      <c r="EB6" s="1230"/>
      <c r="EC6" s="1230"/>
      <c r="ED6" s="1230"/>
      <c r="EE6" s="1230"/>
      <c r="EF6" s="1230"/>
      <c r="EG6" s="1230"/>
      <c r="EH6" s="1230"/>
      <c r="EI6" s="1230"/>
      <c r="EJ6" s="1230"/>
      <c r="EK6" s="1230"/>
      <c r="EL6" s="1230"/>
      <c r="EM6" s="1230"/>
      <c r="EN6" s="1230"/>
      <c r="EO6" s="1230"/>
      <c r="EP6" s="1230"/>
      <c r="EQ6" s="1230"/>
      <c r="ER6" s="1230"/>
      <c r="ES6" s="1230"/>
      <c r="ET6" s="1230"/>
      <c r="EU6" s="1230"/>
      <c r="EV6" s="1231"/>
      <c r="EZ6" s="815"/>
      <c r="FC6" s="816"/>
      <c r="FH6" s="815"/>
      <c r="FL6" s="816"/>
      <c r="FP6" s="816"/>
      <c r="FT6" s="816"/>
    </row>
    <row r="7" spans="1:176" ht="19.899999999999999" customHeight="1" x14ac:dyDescent="0.25">
      <c r="B7" s="1226"/>
      <c r="C7" s="808">
        <f t="shared" ref="C7:C32" si="0">1+C6</f>
        <v>3</v>
      </c>
      <c r="D7" s="809"/>
      <c r="E7" s="813"/>
      <c r="F7" s="813"/>
      <c r="G7" s="811"/>
      <c r="H7" s="812"/>
      <c r="I7" s="784"/>
      <c r="J7" s="1232" t="s">
        <v>80</v>
      </c>
      <c r="K7" s="1232"/>
      <c r="L7" s="1232"/>
      <c r="M7" s="1232"/>
      <c r="N7" s="1232"/>
      <c r="O7" s="1232"/>
      <c r="P7" s="1232"/>
      <c r="Q7" s="1232"/>
      <c r="R7" s="1232"/>
      <c r="S7" s="1232"/>
      <c r="T7" s="1232"/>
      <c r="U7" s="1232"/>
      <c r="V7" s="1232"/>
      <c r="W7" s="784"/>
      <c r="X7" s="784"/>
      <c r="Y7" s="810"/>
      <c r="Z7" s="1234" t="s">
        <v>134</v>
      </c>
      <c r="AA7" s="1235"/>
      <c r="AB7" s="1235"/>
      <c r="AC7" s="1235"/>
      <c r="AD7" s="1235"/>
      <c r="AE7" s="1235"/>
      <c r="AF7" s="1235"/>
      <c r="AG7" s="1235"/>
      <c r="AH7" s="1235"/>
      <c r="AI7" s="1235"/>
      <c r="AJ7" s="1235"/>
      <c r="AK7" s="1235"/>
      <c r="AL7" s="1235"/>
      <c r="AM7" s="1235"/>
      <c r="AN7" s="1236"/>
      <c r="AO7" s="812"/>
      <c r="AP7" s="811"/>
      <c r="AQ7" s="812"/>
      <c r="AR7" s="812"/>
      <c r="AS7" s="812"/>
      <c r="AT7" s="812"/>
      <c r="AU7" s="811"/>
      <c r="AV7" s="812"/>
      <c r="AW7" s="813"/>
      <c r="AX7" s="813"/>
      <c r="AY7" s="814"/>
      <c r="AZ7" s="1304"/>
      <c r="BA7" s="1305"/>
      <c r="BB7" s="1305"/>
      <c r="BC7" s="1305"/>
      <c r="BD7" s="1305"/>
      <c r="BE7" s="1305"/>
      <c r="BF7" s="1305"/>
      <c r="BG7" s="1305"/>
      <c r="BH7" s="1305"/>
      <c r="BI7" s="1305"/>
      <c r="BJ7" s="1305"/>
      <c r="BK7" s="1305"/>
      <c r="BL7" s="1321"/>
      <c r="BP7" s="817"/>
      <c r="BS7" s="818"/>
      <c r="BT7" s="819"/>
      <c r="BU7" s="820"/>
      <c r="BV7" s="818"/>
      <c r="BW7" s="1300" t="s">
        <v>90</v>
      </c>
      <c r="BX7" s="1258"/>
      <c r="BY7" s="1258"/>
      <c r="BZ7" s="1258"/>
      <c r="CA7" s="1258"/>
      <c r="CB7" s="1258"/>
      <c r="CC7" s="1258"/>
      <c r="CD7" s="1258"/>
      <c r="CE7" s="1258"/>
      <c r="CF7" s="1258"/>
      <c r="CG7" s="1258"/>
      <c r="CH7" s="1258"/>
      <c r="CI7" s="1301"/>
      <c r="CJ7" s="1301"/>
      <c r="CK7" s="821"/>
      <c r="CL7" s="1283" t="s">
        <v>91</v>
      </c>
      <c r="CM7" s="1258"/>
      <c r="CN7" s="1258"/>
      <c r="CO7" s="1258"/>
      <c r="CP7" s="1258"/>
      <c r="CQ7" s="1258"/>
      <c r="CR7" s="1258"/>
      <c r="CS7" s="1258"/>
      <c r="CT7" s="1258"/>
      <c r="CU7" s="1258"/>
      <c r="CV7" s="1258"/>
      <c r="CW7" s="1258"/>
      <c r="CX7" s="1258"/>
      <c r="CY7" s="1258"/>
      <c r="CZ7" s="1258"/>
      <c r="DA7" s="1258"/>
      <c r="DB7" s="1258"/>
      <c r="DC7" s="813"/>
      <c r="DD7" s="809"/>
      <c r="DE7" s="813"/>
      <c r="DF7" s="813"/>
      <c r="DG7" s="814"/>
      <c r="DH7" s="813"/>
      <c r="DJ7" s="1232" t="s">
        <v>80</v>
      </c>
      <c r="DK7" s="1232"/>
      <c r="DL7" s="1232"/>
      <c r="DM7" s="1232"/>
      <c r="DN7" s="1232"/>
      <c r="DO7" s="1232"/>
      <c r="DP7" s="1232"/>
      <c r="DQ7" s="1232"/>
      <c r="DR7" s="1232"/>
      <c r="DS7" s="1232"/>
      <c r="DT7" s="1232"/>
      <c r="DU7" s="1232"/>
      <c r="DV7" s="1232"/>
      <c r="DZ7" s="815"/>
      <c r="EC7" s="816"/>
      <c r="EH7" s="815"/>
      <c r="EL7" s="816"/>
      <c r="EQ7" s="815"/>
      <c r="EU7" s="816"/>
      <c r="EZ7" s="815"/>
      <c r="FC7" s="816"/>
      <c r="FH7" s="815"/>
      <c r="FL7" s="816"/>
      <c r="FP7" s="816"/>
      <c r="FT7" s="816"/>
    </row>
    <row r="8" spans="1:176" ht="19.899999999999999" customHeight="1" thickBot="1" x14ac:dyDescent="0.3">
      <c r="B8" s="1227"/>
      <c r="C8" s="822">
        <f t="shared" si="0"/>
        <v>4</v>
      </c>
      <c r="D8" s="823"/>
      <c r="E8" s="824"/>
      <c r="F8" s="824"/>
      <c r="G8" s="825"/>
      <c r="H8" s="826"/>
      <c r="I8" s="827"/>
      <c r="J8" s="827"/>
      <c r="K8" s="827"/>
      <c r="L8" s="828"/>
      <c r="M8" s="1237" t="s">
        <v>80</v>
      </c>
      <c r="N8" s="1237"/>
      <c r="O8" s="1237"/>
      <c r="P8" s="1237"/>
      <c r="Q8" s="1237"/>
      <c r="R8" s="1237"/>
      <c r="S8" s="1237"/>
      <c r="T8" s="1237"/>
      <c r="U8" s="1237"/>
      <c r="V8" s="1237"/>
      <c r="W8" s="1237"/>
      <c r="X8" s="1237"/>
      <c r="Y8" s="1237"/>
      <c r="Z8" s="1237"/>
      <c r="AA8" s="1237"/>
      <c r="AB8" s="827"/>
      <c r="AC8" s="828"/>
      <c r="AD8" s="827"/>
      <c r="AE8" s="1238" t="s">
        <v>134</v>
      </c>
      <c r="AF8" s="1238"/>
      <c r="AG8" s="1238"/>
      <c r="AH8" s="1238"/>
      <c r="AI8" s="1238"/>
      <c r="AJ8" s="1238"/>
      <c r="AK8" s="1238"/>
      <c r="AL8" s="1238"/>
      <c r="AM8" s="1238"/>
      <c r="AN8" s="1238"/>
      <c r="AO8" s="1238"/>
      <c r="AP8" s="1238"/>
      <c r="AQ8" s="1238"/>
      <c r="AR8" s="1238"/>
      <c r="AS8" s="826"/>
      <c r="AT8" s="826"/>
      <c r="AU8" s="825"/>
      <c r="AV8" s="826"/>
      <c r="AW8" s="824"/>
      <c r="AX8" s="824"/>
      <c r="AY8" s="829"/>
      <c r="AZ8" s="1306"/>
      <c r="BA8" s="1307"/>
      <c r="BB8" s="1307"/>
      <c r="BC8" s="1307"/>
      <c r="BD8" s="1307"/>
      <c r="BE8" s="1307"/>
      <c r="BF8" s="1307"/>
      <c r="BG8" s="1307"/>
      <c r="BH8" s="1307"/>
      <c r="BI8" s="1307"/>
      <c r="BJ8" s="1307"/>
      <c r="BK8" s="1307"/>
      <c r="BL8" s="1322"/>
      <c r="BM8" s="830"/>
      <c r="BN8" s="830"/>
      <c r="BO8" s="830"/>
      <c r="BP8" s="831"/>
      <c r="BQ8" s="830"/>
      <c r="BR8" s="830"/>
      <c r="BS8" s="830"/>
      <c r="BT8" s="831"/>
      <c r="BU8" s="830"/>
      <c r="BV8" s="830"/>
      <c r="BW8" s="1264"/>
      <c r="BX8" s="1264"/>
      <c r="BY8" s="1264"/>
      <c r="BZ8" s="1264"/>
      <c r="CA8" s="1264"/>
      <c r="CB8" s="1264"/>
      <c r="CC8" s="1264"/>
      <c r="CD8" s="1264"/>
      <c r="CE8" s="1264"/>
      <c r="CF8" s="1264"/>
      <c r="CG8" s="1264"/>
      <c r="CH8" s="1264"/>
      <c r="CI8" s="1264"/>
      <c r="CJ8" s="1264"/>
      <c r="CK8" s="832"/>
      <c r="CL8" s="833"/>
      <c r="CM8" s="834"/>
      <c r="CN8" s="835"/>
      <c r="CO8" s="836"/>
      <c r="CP8" s="837"/>
      <c r="CQ8" s="824"/>
      <c r="CR8" s="1285" t="s">
        <v>91</v>
      </c>
      <c r="CS8" s="1266"/>
      <c r="CT8" s="1266"/>
      <c r="CU8" s="1266"/>
      <c r="CV8" s="1266"/>
      <c r="CW8" s="1266"/>
      <c r="CX8" s="1266"/>
      <c r="CY8" s="1266"/>
      <c r="CZ8" s="1266"/>
      <c r="DA8" s="1266"/>
      <c r="DB8" s="1266"/>
      <c r="DC8" s="1264"/>
      <c r="DD8" s="1264"/>
      <c r="DE8" s="1264"/>
      <c r="DF8" s="1264"/>
      <c r="DG8" s="1264"/>
      <c r="DH8" s="1264"/>
      <c r="DI8" s="830"/>
      <c r="DJ8" s="830"/>
      <c r="DK8" s="830"/>
      <c r="DL8" s="831"/>
      <c r="DM8" s="1237" t="s">
        <v>80</v>
      </c>
      <c r="DN8" s="1237"/>
      <c r="DO8" s="1237"/>
      <c r="DP8" s="1237"/>
      <c r="DQ8" s="1237"/>
      <c r="DR8" s="1237"/>
      <c r="DS8" s="1237"/>
      <c r="DT8" s="1237"/>
      <c r="DU8" s="1237"/>
      <c r="DV8" s="1237"/>
      <c r="DW8" s="1237"/>
      <c r="DX8" s="1237"/>
      <c r="DY8" s="1237"/>
      <c r="DZ8" s="1237"/>
      <c r="EA8" s="1237"/>
      <c r="EB8" s="830"/>
      <c r="EC8" s="838"/>
      <c r="ED8" s="830"/>
      <c r="EE8" s="830"/>
      <c r="EF8" s="830"/>
      <c r="EG8" s="830"/>
      <c r="EH8" s="839"/>
      <c r="EI8" s="830"/>
      <c r="EJ8" s="830"/>
      <c r="EK8" s="830"/>
      <c r="EL8" s="838"/>
      <c r="EM8" s="830"/>
      <c r="EN8" s="830"/>
      <c r="EO8" s="830"/>
      <c r="EP8" s="830"/>
      <c r="EQ8" s="839"/>
      <c r="ER8" s="830"/>
      <c r="ES8" s="830"/>
      <c r="ET8" s="830"/>
      <c r="EU8" s="838"/>
      <c r="EV8" s="830"/>
      <c r="EW8" s="830"/>
      <c r="EX8" s="830"/>
      <c r="EY8" s="830"/>
      <c r="EZ8" s="839"/>
      <c r="FA8" s="830"/>
      <c r="FB8" s="830"/>
      <c r="FC8" s="838"/>
      <c r="FD8" s="830"/>
      <c r="FE8" s="830"/>
      <c r="FF8" s="830"/>
      <c r="FG8" s="830"/>
      <c r="FH8" s="839"/>
      <c r="FI8" s="830"/>
      <c r="FJ8" s="830"/>
      <c r="FK8" s="830"/>
      <c r="FL8" s="838"/>
      <c r="FM8" s="830"/>
      <c r="FN8" s="830"/>
      <c r="FO8" s="830"/>
      <c r="FP8" s="838"/>
      <c r="FQ8" s="830"/>
      <c r="FR8" s="830"/>
      <c r="FS8" s="830"/>
      <c r="FT8" s="838"/>
    </row>
    <row r="9" spans="1:176" ht="19.899999999999999" customHeight="1" thickTop="1" x14ac:dyDescent="0.25">
      <c r="B9" s="1239">
        <v>2</v>
      </c>
      <c r="C9" s="840">
        <f t="shared" si="0"/>
        <v>5</v>
      </c>
      <c r="D9" s="797"/>
      <c r="E9" s="798"/>
      <c r="F9" s="798"/>
      <c r="G9" s="841"/>
      <c r="H9" s="1242" t="s">
        <v>145</v>
      </c>
      <c r="I9" s="1243"/>
      <c r="J9" s="1243"/>
      <c r="K9" s="1243"/>
      <c r="L9" s="1243"/>
      <c r="M9" s="1243"/>
      <c r="N9" s="1243"/>
      <c r="O9" s="1243"/>
      <c r="P9" s="1243"/>
      <c r="Q9" s="1243"/>
      <c r="R9" s="1243"/>
      <c r="S9" s="1243"/>
      <c r="T9" s="1243"/>
      <c r="U9" s="1243"/>
      <c r="V9" s="1243"/>
      <c r="W9" s="1243"/>
      <c r="X9" s="1243"/>
      <c r="Y9" s="1243"/>
      <c r="Z9" s="1243"/>
      <c r="AA9" s="1244"/>
      <c r="AB9" s="801"/>
      <c r="AC9" s="802"/>
      <c r="AD9" s="801"/>
      <c r="AE9" s="801"/>
      <c r="AF9" s="801"/>
      <c r="AG9" s="802"/>
      <c r="AH9" s="800"/>
      <c r="AI9" s="1248" t="s">
        <v>77</v>
      </c>
      <c r="AJ9" s="1248"/>
      <c r="AK9" s="1248"/>
      <c r="AL9" s="1248"/>
      <c r="AM9" s="1248"/>
      <c r="AN9" s="1248"/>
      <c r="AO9" s="1248"/>
      <c r="AP9" s="1248"/>
      <c r="AQ9" s="1248"/>
      <c r="AR9" s="1248"/>
      <c r="AS9" s="1248"/>
      <c r="AT9" s="1248"/>
      <c r="AU9" s="1248"/>
      <c r="AV9" s="1248"/>
      <c r="AW9" s="1248"/>
      <c r="AX9" s="798"/>
      <c r="AY9" s="803"/>
      <c r="AZ9" s="1302" t="s">
        <v>462</v>
      </c>
      <c r="BA9" s="1303"/>
      <c r="BB9" s="1303"/>
      <c r="BC9" s="1303"/>
      <c r="BD9" s="1303"/>
      <c r="BE9" s="1303"/>
      <c r="BF9" s="1303"/>
      <c r="BG9" s="1303"/>
      <c r="BH9" s="1303"/>
      <c r="BI9" s="1303"/>
      <c r="BJ9" s="1303"/>
      <c r="BK9" s="1303"/>
      <c r="BL9" s="1303"/>
      <c r="BM9" s="1303"/>
      <c r="BN9" s="1303"/>
      <c r="BO9" s="1303"/>
      <c r="BP9" s="1303"/>
      <c r="BQ9" s="1303"/>
      <c r="BR9" s="1303"/>
      <c r="BS9" s="1303"/>
      <c r="BT9" s="1323"/>
      <c r="BU9" s="804"/>
      <c r="BV9" s="804"/>
      <c r="BW9" s="804"/>
      <c r="BX9" s="804"/>
      <c r="BY9" s="1282" t="s">
        <v>87</v>
      </c>
      <c r="BZ9" s="1257"/>
      <c r="CA9" s="1257"/>
      <c r="CB9" s="1257"/>
      <c r="CC9" s="1257"/>
      <c r="CD9" s="1257"/>
      <c r="CE9" s="1257"/>
      <c r="CF9" s="1257"/>
      <c r="CG9" s="1257"/>
      <c r="CH9" s="1257"/>
      <c r="CI9" s="1257"/>
      <c r="CJ9" s="1257"/>
      <c r="CK9" s="1257"/>
      <c r="CL9" s="1257"/>
      <c r="CM9" s="1257"/>
      <c r="CN9" s="1257"/>
      <c r="CO9" s="1257"/>
      <c r="CP9" s="1257"/>
      <c r="CQ9" s="1257"/>
      <c r="CR9" s="1257"/>
      <c r="CS9" s="1257"/>
      <c r="CT9" s="1257"/>
      <c r="CU9" s="1257"/>
      <c r="CV9" s="804"/>
      <c r="CW9" s="804"/>
      <c r="CX9" s="804"/>
      <c r="CY9" s="804"/>
      <c r="CZ9" s="842"/>
      <c r="DA9" s="804"/>
      <c r="DB9" s="804"/>
      <c r="DC9" s="843"/>
      <c r="DD9" s="842"/>
      <c r="DE9" s="798"/>
      <c r="DF9" s="798"/>
      <c r="DG9" s="799"/>
      <c r="DH9" s="800"/>
      <c r="DI9" s="801"/>
      <c r="DJ9" s="801"/>
      <c r="DK9" s="801"/>
      <c r="DL9" s="801"/>
      <c r="DM9" s="844"/>
      <c r="DN9" s="801"/>
      <c r="DO9" s="801"/>
      <c r="DP9" s="801"/>
      <c r="DQ9" s="844"/>
      <c r="DR9" s="801"/>
      <c r="DS9" s="1254" t="s">
        <v>80</v>
      </c>
      <c r="DT9" s="1255"/>
      <c r="DU9" s="1255"/>
      <c r="DV9" s="1255"/>
      <c r="DW9" s="1255"/>
      <c r="DX9" s="1255"/>
      <c r="DY9" s="1255"/>
      <c r="DZ9" s="1255"/>
      <c r="EA9" s="1255"/>
      <c r="EB9" s="1255"/>
      <c r="EC9" s="1255"/>
      <c r="ED9" s="1255"/>
      <c r="EE9" s="1256"/>
      <c r="EF9" s="845"/>
      <c r="EG9" s="846"/>
      <c r="EH9" s="800"/>
      <c r="EI9" s="800"/>
      <c r="EJ9" s="800"/>
      <c r="EK9" s="800"/>
      <c r="EL9" s="799"/>
      <c r="EM9" s="1248" t="s">
        <v>111</v>
      </c>
      <c r="EN9" s="1257"/>
      <c r="EO9" s="1257"/>
      <c r="EP9" s="1257"/>
      <c r="EQ9" s="1257"/>
      <c r="ER9" s="1257"/>
      <c r="ES9" s="1257"/>
      <c r="ET9" s="1257"/>
      <c r="EU9" s="1257"/>
      <c r="EV9" s="1257"/>
      <c r="EW9" s="1257"/>
      <c r="EX9" s="1257"/>
      <c r="EY9" s="1257"/>
      <c r="EZ9" s="797"/>
      <c r="FA9" s="798"/>
      <c r="FB9" s="798"/>
      <c r="FC9" s="798"/>
      <c r="FD9" s="797"/>
      <c r="FE9" s="798"/>
      <c r="FF9" s="798"/>
      <c r="FG9" s="803"/>
      <c r="FH9" s="807"/>
      <c r="FI9" s="804"/>
      <c r="FJ9" s="804"/>
      <c r="FK9" s="804"/>
      <c r="FL9" s="806"/>
      <c r="FM9" s="804"/>
      <c r="FN9" s="804"/>
      <c r="FO9" s="804"/>
      <c r="FP9" s="806"/>
      <c r="FQ9" s="804"/>
      <c r="FR9" s="804"/>
      <c r="FS9" s="804"/>
      <c r="FT9" s="806"/>
    </row>
    <row r="10" spans="1:176" ht="19.899999999999999" customHeight="1" x14ac:dyDescent="0.25">
      <c r="B10" s="1240"/>
      <c r="C10" s="847">
        <f t="shared" si="0"/>
        <v>6</v>
      </c>
      <c r="D10" s="809"/>
      <c r="E10" s="813"/>
      <c r="F10" s="813"/>
      <c r="G10" s="848"/>
      <c r="H10" s="1245"/>
      <c r="I10" s="1246"/>
      <c r="J10" s="1246"/>
      <c r="K10" s="1246"/>
      <c r="L10" s="1246"/>
      <c r="M10" s="1246"/>
      <c r="N10" s="1246"/>
      <c r="O10" s="1246"/>
      <c r="P10" s="1246"/>
      <c r="Q10" s="1246"/>
      <c r="R10" s="1246"/>
      <c r="S10" s="1246"/>
      <c r="T10" s="1246"/>
      <c r="U10" s="1246"/>
      <c r="V10" s="1246"/>
      <c r="W10" s="1246"/>
      <c r="X10" s="1246"/>
      <c r="Y10" s="1246"/>
      <c r="Z10" s="1246"/>
      <c r="AA10" s="1247"/>
      <c r="AB10" s="784"/>
      <c r="AC10" s="810"/>
      <c r="AD10" s="784"/>
      <c r="AE10" s="784"/>
      <c r="AF10" s="784"/>
      <c r="AG10" s="810"/>
      <c r="AH10" s="812"/>
      <c r="AI10" s="1249"/>
      <c r="AJ10" s="1249"/>
      <c r="AK10" s="1249"/>
      <c r="AL10" s="1249"/>
      <c r="AM10" s="1249"/>
      <c r="AN10" s="1249"/>
      <c r="AO10" s="1249"/>
      <c r="AP10" s="1249"/>
      <c r="AQ10" s="1249"/>
      <c r="AR10" s="1249"/>
      <c r="AS10" s="1249"/>
      <c r="AT10" s="1249"/>
      <c r="AU10" s="1249"/>
      <c r="AV10" s="1249"/>
      <c r="AW10" s="1249"/>
      <c r="AX10" s="813"/>
      <c r="AY10" s="814"/>
      <c r="AZ10" s="1304"/>
      <c r="BA10" s="1305"/>
      <c r="BB10" s="1305"/>
      <c r="BC10" s="1305"/>
      <c r="BD10" s="1305"/>
      <c r="BE10" s="1305"/>
      <c r="BF10" s="1305"/>
      <c r="BG10" s="1305"/>
      <c r="BH10" s="1305"/>
      <c r="BI10" s="1305"/>
      <c r="BJ10" s="1305"/>
      <c r="BK10" s="1305"/>
      <c r="BL10" s="1305"/>
      <c r="BM10" s="1305"/>
      <c r="BN10" s="1305"/>
      <c r="BO10" s="1305"/>
      <c r="BP10" s="1305"/>
      <c r="BQ10" s="1305"/>
      <c r="BR10" s="1305"/>
      <c r="BS10" s="1305"/>
      <c r="BT10" s="1324"/>
      <c r="BY10" s="1258"/>
      <c r="BZ10" s="1258"/>
      <c r="CA10" s="1258"/>
      <c r="CB10" s="1258"/>
      <c r="CC10" s="1258"/>
      <c r="CD10" s="1258"/>
      <c r="CE10" s="1258"/>
      <c r="CF10" s="1258"/>
      <c r="CG10" s="1258"/>
      <c r="CH10" s="1258"/>
      <c r="CI10" s="1258"/>
      <c r="CJ10" s="1258"/>
      <c r="CK10" s="1258"/>
      <c r="CL10" s="1258"/>
      <c r="CM10" s="1258"/>
      <c r="CN10" s="1258"/>
      <c r="CO10" s="1258"/>
      <c r="CP10" s="1258"/>
      <c r="CQ10" s="1258"/>
      <c r="CR10" s="1258"/>
      <c r="CS10" s="1258"/>
      <c r="CT10" s="1258"/>
      <c r="CU10" s="1258"/>
      <c r="CZ10" s="849"/>
      <c r="DC10" s="850"/>
      <c r="DD10" s="849"/>
      <c r="DE10" s="1260" t="s">
        <v>114</v>
      </c>
      <c r="DF10" s="1258"/>
      <c r="DG10" s="1258"/>
      <c r="DH10" s="1258"/>
      <c r="DI10" s="1258"/>
      <c r="DJ10" s="1258"/>
      <c r="DK10" s="1259"/>
      <c r="DL10" s="1259"/>
      <c r="DM10" s="1259"/>
      <c r="DN10" s="1259"/>
      <c r="DO10" s="1259"/>
      <c r="DP10" s="1259"/>
      <c r="DQ10" s="1259"/>
      <c r="DR10" s="1259"/>
      <c r="DS10" s="1259"/>
      <c r="DT10" s="784"/>
      <c r="DU10" s="851"/>
      <c r="DV10" s="784"/>
      <c r="DW10" s="1261" t="s">
        <v>80</v>
      </c>
      <c r="DX10" s="1261"/>
      <c r="DY10" s="1261"/>
      <c r="DZ10" s="1261"/>
      <c r="EA10" s="1261"/>
      <c r="EB10" s="1232"/>
      <c r="EC10" s="1232"/>
      <c r="ED10" s="1232"/>
      <c r="EE10" s="1261"/>
      <c r="EF10" s="1261"/>
      <c r="EG10" s="1261"/>
      <c r="EH10" s="1261"/>
      <c r="EI10" s="1261"/>
      <c r="EJ10" s="784"/>
      <c r="EK10" s="784"/>
      <c r="EL10" s="810"/>
      <c r="EM10" s="1258"/>
      <c r="EN10" s="1258"/>
      <c r="EO10" s="1258"/>
      <c r="EP10" s="1258"/>
      <c r="EQ10" s="1258"/>
      <c r="ER10" s="1258"/>
      <c r="ES10" s="1258"/>
      <c r="ET10" s="1259"/>
      <c r="EU10" s="1259"/>
      <c r="EV10" s="1259"/>
      <c r="EW10" s="1259"/>
      <c r="EX10" s="1259"/>
      <c r="EY10" s="1259"/>
      <c r="EZ10" s="809"/>
      <c r="FA10" s="813"/>
      <c r="FB10" s="813"/>
      <c r="FC10" s="813"/>
      <c r="FD10" s="809"/>
      <c r="FE10" s="813"/>
      <c r="FF10" s="813"/>
      <c r="FG10" s="814"/>
      <c r="FH10" s="815"/>
      <c r="FL10" s="816"/>
      <c r="FP10" s="816"/>
      <c r="FT10" s="816"/>
    </row>
    <row r="11" spans="1:176" ht="19.899999999999999" customHeight="1" x14ac:dyDescent="0.25">
      <c r="B11" s="1240"/>
      <c r="C11" s="847">
        <f t="shared" si="0"/>
        <v>7</v>
      </c>
      <c r="D11" s="809"/>
      <c r="E11" s="813"/>
      <c r="F11" s="813"/>
      <c r="G11" s="811"/>
      <c r="H11" s="812"/>
      <c r="I11" s="784"/>
      <c r="J11" s="784"/>
      <c r="K11" s="784"/>
      <c r="L11" s="810"/>
      <c r="M11" s="784"/>
      <c r="N11" s="784"/>
      <c r="O11" s="784"/>
      <c r="P11" s="810"/>
      <c r="Q11" s="784"/>
      <c r="R11" s="784"/>
      <c r="S11" s="852"/>
      <c r="T11" s="1250" t="s">
        <v>145</v>
      </c>
      <c r="U11" s="1216"/>
      <c r="V11" s="1216"/>
      <c r="W11" s="1216"/>
      <c r="X11" s="1216"/>
      <c r="Y11" s="1216"/>
      <c r="Z11" s="1216"/>
      <c r="AA11" s="1216"/>
      <c r="AB11" s="1216"/>
      <c r="AC11" s="1216"/>
      <c r="AD11" s="1216"/>
      <c r="AE11" s="1216"/>
      <c r="AF11" s="1216"/>
      <c r="AG11" s="1216"/>
      <c r="AH11" s="1216"/>
      <c r="AI11" s="1216"/>
      <c r="AJ11" s="1216"/>
      <c r="AK11" s="1216"/>
      <c r="AL11" s="1217"/>
      <c r="AM11" s="812"/>
      <c r="AN11" s="812"/>
      <c r="AO11" s="812"/>
      <c r="AP11" s="811"/>
      <c r="AQ11" s="812"/>
      <c r="AR11" s="812"/>
      <c r="AS11" s="812"/>
      <c r="AT11" s="812"/>
      <c r="AU11" s="811"/>
      <c r="AV11" s="812"/>
      <c r="AW11" s="813"/>
      <c r="AX11" s="813"/>
      <c r="AY11" s="814"/>
      <c r="AZ11" s="1304"/>
      <c r="BA11" s="1305"/>
      <c r="BB11" s="1305"/>
      <c r="BC11" s="1305"/>
      <c r="BD11" s="1305"/>
      <c r="BE11" s="1305"/>
      <c r="BF11" s="1305"/>
      <c r="BG11" s="1305"/>
      <c r="BH11" s="1305"/>
      <c r="BI11" s="1305"/>
      <c r="BJ11" s="1305"/>
      <c r="BK11" s="1305"/>
      <c r="BL11" s="1305"/>
      <c r="BM11" s="1305"/>
      <c r="BN11" s="1305"/>
      <c r="BO11" s="1305"/>
      <c r="BP11" s="1305"/>
      <c r="BQ11" s="1305"/>
      <c r="BR11" s="1305"/>
      <c r="BS11" s="1305"/>
      <c r="BT11" s="1324"/>
      <c r="BY11" s="1258"/>
      <c r="BZ11" s="1258"/>
      <c r="CA11" s="1258"/>
      <c r="CB11" s="1258"/>
      <c r="CC11" s="1258"/>
      <c r="CD11" s="1258"/>
      <c r="CE11" s="1258"/>
      <c r="CF11" s="1258"/>
      <c r="CG11" s="1258"/>
      <c r="CH11" s="1258"/>
      <c r="CI11" s="1258"/>
      <c r="CJ11" s="1258"/>
      <c r="CK11" s="1258"/>
      <c r="CL11" s="1258"/>
      <c r="CM11" s="1258"/>
      <c r="CN11" s="1258"/>
      <c r="CO11" s="1258"/>
      <c r="CP11" s="1258"/>
      <c r="CQ11" s="1258"/>
      <c r="CR11" s="1258"/>
      <c r="CS11" s="1258"/>
      <c r="CT11" s="1258"/>
      <c r="CU11" s="1258"/>
      <c r="CZ11" s="849"/>
      <c r="DC11" s="850"/>
      <c r="DD11" s="849"/>
      <c r="DE11" s="813"/>
      <c r="DF11" s="813"/>
      <c r="DG11" s="811"/>
      <c r="DH11" s="812"/>
      <c r="DI11" s="784"/>
      <c r="DJ11" s="784"/>
      <c r="DK11" s="1260" t="s">
        <v>114</v>
      </c>
      <c r="DL11" s="1258"/>
      <c r="DM11" s="1258"/>
      <c r="DN11" s="1258"/>
      <c r="DO11" s="1258"/>
      <c r="DP11" s="1258"/>
      <c r="DQ11" s="1258"/>
      <c r="DR11" s="1258"/>
      <c r="DS11" s="1258"/>
      <c r="DT11" s="1258"/>
      <c r="DU11" s="1258"/>
      <c r="DV11" s="1258"/>
      <c r="DW11" s="1258"/>
      <c r="DX11" s="1258"/>
      <c r="DY11" s="1258"/>
      <c r="DZ11" s="1258"/>
      <c r="EA11" s="1258"/>
      <c r="EB11" s="784"/>
      <c r="EC11" s="1262" t="s">
        <v>80</v>
      </c>
      <c r="ED11" s="1262"/>
      <c r="EE11" s="1262"/>
      <c r="EF11" s="1262"/>
      <c r="EG11" s="1262"/>
      <c r="EH11" s="1262"/>
      <c r="EI11" s="1262"/>
      <c r="EJ11" s="1262"/>
      <c r="EK11" s="1262"/>
      <c r="EL11" s="1262"/>
      <c r="EM11" s="1263"/>
      <c r="EN11" s="812"/>
      <c r="EO11" s="812"/>
      <c r="EP11" s="811"/>
      <c r="EQ11" s="812"/>
      <c r="ER11" s="812"/>
      <c r="ES11" s="812"/>
      <c r="ET11" s="1249" t="s">
        <v>111</v>
      </c>
      <c r="EU11" s="1258"/>
      <c r="EV11" s="1258"/>
      <c r="EW11" s="1258"/>
      <c r="EX11" s="1258"/>
      <c r="EY11" s="1258"/>
      <c r="EZ11" s="1258"/>
      <c r="FA11" s="1258"/>
      <c r="FB11" s="1258"/>
      <c r="FC11" s="1258"/>
      <c r="FD11" s="1258"/>
      <c r="FE11" s="1258"/>
      <c r="FF11" s="1258"/>
      <c r="FG11" s="1258"/>
      <c r="FH11" s="815"/>
      <c r="FL11" s="816"/>
      <c r="FP11" s="816"/>
      <c r="FT11" s="816"/>
    </row>
    <row r="12" spans="1:176" ht="19.899999999999999" customHeight="1" thickBot="1" x14ac:dyDescent="0.3">
      <c r="B12" s="1241"/>
      <c r="C12" s="853">
        <f t="shared" si="0"/>
        <v>8</v>
      </c>
      <c r="D12" s="823"/>
      <c r="E12" s="824"/>
      <c r="F12" s="824"/>
      <c r="G12" s="825"/>
      <c r="H12" s="826"/>
      <c r="I12" s="827"/>
      <c r="J12" s="827"/>
      <c r="K12" s="827"/>
      <c r="L12" s="828"/>
      <c r="M12" s="827"/>
      <c r="N12" s="827"/>
      <c r="O12" s="827"/>
      <c r="P12" s="828"/>
      <c r="Q12" s="827"/>
      <c r="R12" s="827"/>
      <c r="S12" s="828"/>
      <c r="T12" s="1251"/>
      <c r="U12" s="1252"/>
      <c r="V12" s="1252"/>
      <c r="W12" s="1252"/>
      <c r="X12" s="1252"/>
      <c r="Y12" s="1252"/>
      <c r="Z12" s="1252"/>
      <c r="AA12" s="1252"/>
      <c r="AB12" s="1252"/>
      <c r="AC12" s="1252"/>
      <c r="AD12" s="1252"/>
      <c r="AE12" s="1252"/>
      <c r="AF12" s="1252"/>
      <c r="AG12" s="1252"/>
      <c r="AH12" s="1252"/>
      <c r="AI12" s="1252"/>
      <c r="AJ12" s="1252"/>
      <c r="AK12" s="1252"/>
      <c r="AL12" s="1253"/>
      <c r="AM12" s="826"/>
      <c r="AN12" s="826"/>
      <c r="AO12" s="826"/>
      <c r="AP12" s="825"/>
      <c r="AQ12" s="826"/>
      <c r="AR12" s="826"/>
      <c r="AS12" s="826"/>
      <c r="AT12" s="826"/>
      <c r="AU12" s="825"/>
      <c r="AV12" s="826"/>
      <c r="AW12" s="824"/>
      <c r="AX12" s="824"/>
      <c r="AY12" s="829"/>
      <c r="AZ12" s="1306"/>
      <c r="BA12" s="1307"/>
      <c r="BB12" s="1307"/>
      <c r="BC12" s="1307"/>
      <c r="BD12" s="1307"/>
      <c r="BE12" s="1307"/>
      <c r="BF12" s="1307"/>
      <c r="BG12" s="1307"/>
      <c r="BH12" s="1307"/>
      <c r="BI12" s="1307"/>
      <c r="BJ12" s="1307"/>
      <c r="BK12" s="1307"/>
      <c r="BL12" s="1307"/>
      <c r="BM12" s="1307"/>
      <c r="BN12" s="1307"/>
      <c r="BO12" s="1307"/>
      <c r="BP12" s="1307"/>
      <c r="BQ12" s="1307"/>
      <c r="BR12" s="1307"/>
      <c r="BS12" s="1307"/>
      <c r="BT12" s="1325"/>
      <c r="BU12" s="830"/>
      <c r="BV12" s="830"/>
      <c r="BW12" s="830"/>
      <c r="BX12" s="830"/>
      <c r="BY12" s="831"/>
      <c r="BZ12" s="830"/>
      <c r="CA12" s="830"/>
      <c r="CB12" s="1298" t="s">
        <v>94</v>
      </c>
      <c r="CC12" s="1299"/>
      <c r="CD12" s="1299"/>
      <c r="CE12" s="1299"/>
      <c r="CF12" s="1299"/>
      <c r="CG12" s="1299"/>
      <c r="CH12" s="1299"/>
      <c r="CI12" s="1299"/>
      <c r="CJ12" s="1299"/>
      <c r="CK12" s="1299"/>
      <c r="CL12" s="1277"/>
      <c r="CM12" s="1277"/>
      <c r="CN12" s="1277"/>
      <c r="CO12" s="854"/>
      <c r="CP12" s="855"/>
      <c r="CQ12" s="824"/>
      <c r="CR12" s="824"/>
      <c r="CS12" s="824"/>
      <c r="CT12" s="824"/>
      <c r="CU12" s="829"/>
      <c r="CV12" s="830"/>
      <c r="CW12" s="830"/>
      <c r="CX12" s="830"/>
      <c r="CY12" s="830"/>
      <c r="CZ12" s="856"/>
      <c r="DA12" s="830"/>
      <c r="DB12" s="830"/>
      <c r="DC12" s="857"/>
      <c r="DD12" s="856"/>
      <c r="DE12" s="824"/>
      <c r="DF12" s="824"/>
      <c r="DG12" s="829"/>
      <c r="DH12" s="824"/>
      <c r="DI12" s="830"/>
      <c r="DJ12" s="830"/>
      <c r="DK12" s="830"/>
      <c r="DL12" s="831"/>
      <c r="DM12" s="830"/>
      <c r="DN12" s="830"/>
      <c r="DO12" s="830"/>
      <c r="DP12" s="831"/>
      <c r="DQ12" s="830"/>
      <c r="DR12" s="830"/>
      <c r="DS12" s="830"/>
      <c r="DT12" s="830"/>
      <c r="DU12" s="832"/>
      <c r="DV12" s="830"/>
      <c r="DW12" s="830"/>
      <c r="DX12" s="830"/>
      <c r="DY12" s="830"/>
      <c r="DZ12" s="1265" t="s">
        <v>110</v>
      </c>
      <c r="EA12" s="1266"/>
      <c r="EB12" s="1264"/>
      <c r="EC12" s="1264"/>
      <c r="ED12" s="1264"/>
      <c r="EE12" s="1264"/>
      <c r="EF12" s="1264"/>
      <c r="EG12" s="1264"/>
      <c r="EH12" s="1264"/>
      <c r="EI12" s="1264"/>
      <c r="EJ12" s="1264"/>
      <c r="EK12" s="1264"/>
      <c r="EL12" s="1264"/>
      <c r="EM12" s="1264"/>
      <c r="EN12" s="824"/>
      <c r="EO12" s="824"/>
      <c r="EP12" s="829"/>
      <c r="EQ12" s="824"/>
      <c r="ER12" s="824"/>
      <c r="ES12" s="824"/>
      <c r="ET12" s="1264"/>
      <c r="EU12" s="1264"/>
      <c r="EV12" s="1264"/>
      <c r="EW12" s="1264"/>
      <c r="EX12" s="1264"/>
      <c r="EY12" s="1264"/>
      <c r="EZ12" s="1264"/>
      <c r="FA12" s="1264"/>
      <c r="FB12" s="1264"/>
      <c r="FC12" s="1264"/>
      <c r="FD12" s="1264"/>
      <c r="FE12" s="1264"/>
      <c r="FF12" s="1264"/>
      <c r="FG12" s="1264"/>
      <c r="FH12" s="839"/>
      <c r="FI12" s="830"/>
      <c r="FJ12" s="830"/>
      <c r="FK12" s="830"/>
      <c r="FL12" s="838"/>
      <c r="FM12" s="830"/>
      <c r="FN12" s="830"/>
      <c r="FO12" s="830"/>
      <c r="FP12" s="838"/>
      <c r="FQ12" s="830"/>
      <c r="FR12" s="830"/>
      <c r="FS12" s="830"/>
      <c r="FT12" s="838"/>
    </row>
    <row r="13" spans="1:176" ht="19.899999999999999" customHeight="1" thickTop="1" x14ac:dyDescent="0.25">
      <c r="B13" s="1225">
        <v>3</v>
      </c>
      <c r="C13" s="796">
        <f t="shared" si="0"/>
        <v>9</v>
      </c>
      <c r="D13" s="797"/>
      <c r="E13" s="798"/>
      <c r="F13" s="798"/>
      <c r="G13" s="799"/>
      <c r="H13" s="800"/>
      <c r="I13" s="801"/>
      <c r="J13" s="801"/>
      <c r="K13" s="801"/>
      <c r="L13" s="801"/>
      <c r="M13" s="844"/>
      <c r="N13" s="801"/>
      <c r="O13" s="801"/>
      <c r="P13" s="801"/>
      <c r="Q13" s="844"/>
      <c r="R13" s="801"/>
      <c r="S13" s="1254" t="s">
        <v>80</v>
      </c>
      <c r="T13" s="1255"/>
      <c r="U13" s="1255"/>
      <c r="V13" s="1255"/>
      <c r="W13" s="1255"/>
      <c r="X13" s="1255"/>
      <c r="Y13" s="1255"/>
      <c r="Z13" s="1255"/>
      <c r="AA13" s="1255"/>
      <c r="AB13" s="1255"/>
      <c r="AC13" s="1255"/>
      <c r="AD13" s="1255"/>
      <c r="AE13" s="1256"/>
      <c r="AF13" s="845"/>
      <c r="AG13" s="846"/>
      <c r="AH13" s="800"/>
      <c r="AI13" s="800"/>
      <c r="AJ13" s="800"/>
      <c r="AK13" s="800"/>
      <c r="AL13" s="799"/>
      <c r="AM13" s="1248" t="s">
        <v>111</v>
      </c>
      <c r="AN13" s="1257"/>
      <c r="AO13" s="1257"/>
      <c r="AP13" s="1257"/>
      <c r="AQ13" s="1257"/>
      <c r="AR13" s="1257"/>
      <c r="AS13" s="1257"/>
      <c r="AT13" s="1257"/>
      <c r="AU13" s="1257"/>
      <c r="AV13" s="1257"/>
      <c r="AW13" s="1257"/>
      <c r="AX13" s="1257"/>
      <c r="AY13" s="1257"/>
      <c r="AZ13" s="797"/>
      <c r="BA13" s="798"/>
      <c r="BB13" s="798"/>
      <c r="BC13" s="798"/>
      <c r="BD13" s="797"/>
      <c r="BE13" s="798"/>
      <c r="BF13" s="798"/>
      <c r="BG13" s="803"/>
      <c r="BH13" s="798"/>
      <c r="BI13" s="1303" t="s">
        <v>462</v>
      </c>
      <c r="BJ13" s="1303"/>
      <c r="BK13" s="1303"/>
      <c r="BL13" s="1303"/>
      <c r="BM13" s="1303"/>
      <c r="BN13" s="1303"/>
      <c r="BO13" s="1303"/>
      <c r="BP13" s="1303"/>
      <c r="BQ13" s="1303"/>
      <c r="BR13" s="1303"/>
      <c r="BS13" s="1303"/>
      <c r="BT13" s="1303"/>
      <c r="BU13" s="1303"/>
      <c r="BV13" s="1303"/>
      <c r="BW13" s="1303"/>
      <c r="BX13" s="1303"/>
      <c r="BY13" s="1326"/>
      <c r="BZ13" s="842"/>
      <c r="CA13" s="804"/>
      <c r="CB13" s="858"/>
      <c r="CC13" s="846"/>
      <c r="CD13" s="845"/>
      <c r="CE13" s="858"/>
      <c r="CF13" s="858"/>
      <c r="CG13" s="846"/>
      <c r="CH13" s="845"/>
      <c r="CI13" s="1281" t="s">
        <v>92</v>
      </c>
      <c r="CJ13" s="1257"/>
      <c r="CK13" s="1257"/>
      <c r="CL13" s="1257"/>
      <c r="CM13" s="1257"/>
      <c r="CN13" s="1257"/>
      <c r="CO13" s="1257"/>
      <c r="CP13" s="1257"/>
      <c r="CQ13" s="798"/>
      <c r="CR13" s="798"/>
      <c r="CS13" s="1282" t="s">
        <v>96</v>
      </c>
      <c r="CT13" s="1282"/>
      <c r="CU13" s="1282"/>
      <c r="CV13" s="1282"/>
      <c r="CW13" s="1282"/>
      <c r="CX13" s="1282"/>
      <c r="CY13" s="1282"/>
      <c r="CZ13" s="1282"/>
      <c r="DA13" s="1282"/>
      <c r="DB13" s="1282"/>
      <c r="DC13" s="1282"/>
      <c r="DD13" s="1282"/>
      <c r="DE13" s="1282"/>
      <c r="DF13" s="1282"/>
      <c r="DG13" s="1282"/>
      <c r="DH13" s="1282"/>
      <c r="DI13" s="1282"/>
      <c r="DJ13" s="1282"/>
      <c r="DK13" s="1282"/>
      <c r="DL13" s="1282"/>
      <c r="DM13" s="1282"/>
      <c r="DN13" s="804"/>
      <c r="DO13" s="804"/>
      <c r="DP13" s="843"/>
      <c r="DQ13" s="804"/>
      <c r="DR13" s="804"/>
      <c r="DS13" s="804"/>
      <c r="DT13" s="1270" t="s">
        <v>82</v>
      </c>
      <c r="DU13" s="1271"/>
      <c r="DV13" s="1271"/>
      <c r="DW13" s="1271"/>
      <c r="DX13" s="1271"/>
      <c r="DY13" s="1271"/>
      <c r="DZ13" s="1271"/>
      <c r="EA13" s="1271"/>
      <c r="EB13" s="1271"/>
      <c r="EC13" s="1271"/>
      <c r="ED13" s="1271"/>
      <c r="EE13" s="1271"/>
      <c r="EF13" s="1271"/>
      <c r="EG13" s="1271"/>
      <c r="EH13" s="1271"/>
      <c r="EI13" s="1271"/>
      <c r="EJ13" s="804"/>
      <c r="EK13" s="1248" t="s">
        <v>115</v>
      </c>
      <c r="EL13" s="1248"/>
      <c r="EM13" s="1248"/>
      <c r="EN13" s="1248"/>
      <c r="EO13" s="1248"/>
      <c r="EP13" s="1248"/>
      <c r="EQ13" s="1248"/>
      <c r="ER13" s="1248"/>
      <c r="ES13" s="1248"/>
      <c r="ET13" s="1248"/>
      <c r="EU13" s="1248"/>
      <c r="EV13" s="1248"/>
      <c r="EW13" s="1248"/>
      <c r="EX13" s="1248"/>
      <c r="EY13" s="1248"/>
      <c r="EZ13" s="1248"/>
      <c r="FA13" s="798"/>
      <c r="FB13" s="798"/>
      <c r="FC13" s="798"/>
      <c r="FD13" s="797"/>
      <c r="FE13" s="798"/>
      <c r="FF13" s="798"/>
      <c r="FG13" s="804"/>
      <c r="FH13" s="807"/>
      <c r="FI13" s="804"/>
      <c r="FJ13" s="804"/>
      <c r="FK13" s="804"/>
      <c r="FL13" s="806"/>
      <c r="FM13" s="804"/>
      <c r="FN13" s="804"/>
      <c r="FO13" s="804"/>
      <c r="FP13" s="806"/>
      <c r="FQ13" s="804"/>
      <c r="FR13" s="804"/>
      <c r="FS13" s="804"/>
      <c r="FT13" s="806"/>
    </row>
    <row r="14" spans="1:176" ht="19.899999999999999" customHeight="1" x14ac:dyDescent="0.25">
      <c r="B14" s="1226"/>
      <c r="C14" s="808">
        <f t="shared" si="0"/>
        <v>10</v>
      </c>
      <c r="D14" s="809"/>
      <c r="E14" s="1260" t="s">
        <v>114</v>
      </c>
      <c r="F14" s="1258"/>
      <c r="G14" s="1258"/>
      <c r="H14" s="1258"/>
      <c r="I14" s="1258"/>
      <c r="J14" s="1258"/>
      <c r="K14" s="1259"/>
      <c r="L14" s="1259"/>
      <c r="M14" s="1259"/>
      <c r="N14" s="1259"/>
      <c r="O14" s="1259"/>
      <c r="P14" s="1259"/>
      <c r="Q14" s="1259"/>
      <c r="R14" s="1259"/>
      <c r="S14" s="1259"/>
      <c r="T14" s="784"/>
      <c r="U14" s="851"/>
      <c r="V14" s="784"/>
      <c r="W14" s="1261" t="s">
        <v>80</v>
      </c>
      <c r="X14" s="1261"/>
      <c r="Y14" s="1261"/>
      <c r="Z14" s="1261"/>
      <c r="AA14" s="1261"/>
      <c r="AB14" s="1232"/>
      <c r="AC14" s="1232"/>
      <c r="AD14" s="1232"/>
      <c r="AE14" s="1261"/>
      <c r="AF14" s="1261"/>
      <c r="AG14" s="1261"/>
      <c r="AH14" s="1261"/>
      <c r="AI14" s="1261"/>
      <c r="AJ14" s="784"/>
      <c r="AK14" s="784"/>
      <c r="AL14" s="810"/>
      <c r="AM14" s="1258"/>
      <c r="AN14" s="1258"/>
      <c r="AO14" s="1258"/>
      <c r="AP14" s="1258"/>
      <c r="AQ14" s="1258"/>
      <c r="AR14" s="1258"/>
      <c r="AS14" s="1258"/>
      <c r="AT14" s="1259"/>
      <c r="AU14" s="1259"/>
      <c r="AV14" s="1259"/>
      <c r="AW14" s="1259"/>
      <c r="AX14" s="1259"/>
      <c r="AY14" s="1259"/>
      <c r="AZ14" s="809"/>
      <c r="BA14" s="813"/>
      <c r="BB14" s="813"/>
      <c r="BC14" s="813"/>
      <c r="BD14" s="809"/>
      <c r="BE14" s="813"/>
      <c r="BF14" s="813"/>
      <c r="BG14" s="814"/>
      <c r="BH14" s="813"/>
      <c r="BI14" s="1305"/>
      <c r="BJ14" s="1305"/>
      <c r="BK14" s="1305"/>
      <c r="BL14" s="1305"/>
      <c r="BM14" s="1305"/>
      <c r="BN14" s="1305"/>
      <c r="BO14" s="1305"/>
      <c r="BP14" s="1305"/>
      <c r="BQ14" s="1305"/>
      <c r="BR14" s="1305"/>
      <c r="BS14" s="1305"/>
      <c r="BT14" s="1305"/>
      <c r="BU14" s="1305"/>
      <c r="BV14" s="1305"/>
      <c r="BW14" s="1305"/>
      <c r="BX14" s="1305"/>
      <c r="BY14" s="1327"/>
      <c r="BZ14" s="849"/>
      <c r="CB14" s="1272" t="s">
        <v>92</v>
      </c>
      <c r="CC14" s="1273"/>
      <c r="CD14" s="1273"/>
      <c r="CE14" s="1273"/>
      <c r="CF14" s="1273"/>
      <c r="CG14" s="1218"/>
      <c r="CH14" s="1218"/>
      <c r="CI14" s="1218"/>
      <c r="CJ14" s="1218"/>
      <c r="CK14" s="1218"/>
      <c r="CL14" s="1218"/>
      <c r="CM14" s="812"/>
      <c r="CN14" s="812"/>
      <c r="CO14" s="813"/>
      <c r="CP14" s="814"/>
      <c r="CQ14" s="813"/>
      <c r="CR14" s="813"/>
      <c r="CS14" s="1283"/>
      <c r="CT14" s="1283"/>
      <c r="CU14" s="1283"/>
      <c r="CV14" s="1283"/>
      <c r="CW14" s="1283"/>
      <c r="CX14" s="1283"/>
      <c r="CY14" s="1283"/>
      <c r="CZ14" s="1283"/>
      <c r="DA14" s="1283"/>
      <c r="DB14" s="1283"/>
      <c r="DC14" s="1283"/>
      <c r="DD14" s="1283"/>
      <c r="DE14" s="1283"/>
      <c r="DF14" s="1283"/>
      <c r="DG14" s="1283"/>
      <c r="DH14" s="1283"/>
      <c r="DI14" s="1283"/>
      <c r="DJ14" s="1283"/>
      <c r="DK14" s="1283"/>
      <c r="DL14" s="1283"/>
      <c r="DM14" s="1283"/>
      <c r="DP14" s="850"/>
      <c r="DT14" s="817"/>
      <c r="DV14" s="1272" t="s">
        <v>123</v>
      </c>
      <c r="DW14" s="1273"/>
      <c r="DX14" s="1273"/>
      <c r="DY14" s="1273"/>
      <c r="DZ14" s="1273"/>
      <c r="EA14" s="1273"/>
      <c r="EB14" s="1218"/>
      <c r="EC14" s="1218"/>
      <c r="ED14" s="1218"/>
      <c r="EE14" s="1218"/>
      <c r="EF14" s="1218"/>
      <c r="EG14" s="1218"/>
      <c r="EH14" s="1218"/>
      <c r="EI14" s="859"/>
      <c r="EJ14" s="859"/>
      <c r="EK14" s="1249"/>
      <c r="EL14" s="1249"/>
      <c r="EM14" s="1249"/>
      <c r="EN14" s="1249"/>
      <c r="EO14" s="1249"/>
      <c r="EP14" s="1249"/>
      <c r="EQ14" s="1249"/>
      <c r="ER14" s="1249"/>
      <c r="ES14" s="1249"/>
      <c r="ET14" s="1249"/>
      <c r="EU14" s="1249"/>
      <c r="EV14" s="1249"/>
      <c r="EW14" s="1249"/>
      <c r="EX14" s="1249"/>
      <c r="EY14" s="1249"/>
      <c r="EZ14" s="1249"/>
      <c r="FA14" s="813"/>
      <c r="FB14" s="813"/>
      <c r="FC14" s="813"/>
      <c r="FD14" s="809"/>
      <c r="FE14" s="813"/>
      <c r="FF14" s="813"/>
      <c r="FH14" s="815"/>
      <c r="FL14" s="816"/>
      <c r="FP14" s="816"/>
      <c r="FT14" s="816"/>
    </row>
    <row r="15" spans="1:176" ht="19.899999999999999" customHeight="1" x14ac:dyDescent="0.25">
      <c r="B15" s="1226"/>
      <c r="C15" s="808">
        <f t="shared" si="0"/>
        <v>11</v>
      </c>
      <c r="D15" s="809"/>
      <c r="E15" s="813"/>
      <c r="F15" s="813"/>
      <c r="G15" s="811"/>
      <c r="H15" s="812"/>
      <c r="I15" s="784"/>
      <c r="J15" s="784"/>
      <c r="K15" s="1260" t="s">
        <v>114</v>
      </c>
      <c r="L15" s="1258"/>
      <c r="M15" s="1258"/>
      <c r="N15" s="1258"/>
      <c r="O15" s="1258"/>
      <c r="P15" s="1258"/>
      <c r="Q15" s="1258"/>
      <c r="R15" s="1258"/>
      <c r="S15" s="1258"/>
      <c r="T15" s="1258"/>
      <c r="U15" s="1258"/>
      <c r="V15" s="1258"/>
      <c r="W15" s="1258"/>
      <c r="X15" s="1258"/>
      <c r="Y15" s="1258"/>
      <c r="Z15" s="1258"/>
      <c r="AA15" s="1258"/>
      <c r="AB15" s="784"/>
      <c r="AC15" s="1262" t="s">
        <v>80</v>
      </c>
      <c r="AD15" s="1262"/>
      <c r="AE15" s="1262"/>
      <c r="AF15" s="1262"/>
      <c r="AG15" s="1262"/>
      <c r="AH15" s="1262"/>
      <c r="AI15" s="1262"/>
      <c r="AJ15" s="1262"/>
      <c r="AK15" s="1262"/>
      <c r="AL15" s="1262"/>
      <c r="AM15" s="1263"/>
      <c r="AN15" s="812"/>
      <c r="AO15" s="812"/>
      <c r="AP15" s="811"/>
      <c r="AQ15" s="812"/>
      <c r="AR15" s="812"/>
      <c r="AS15" s="812"/>
      <c r="AT15" s="1249" t="s">
        <v>111</v>
      </c>
      <c r="AU15" s="1258"/>
      <c r="AV15" s="1258"/>
      <c r="AW15" s="1258"/>
      <c r="AX15" s="1258"/>
      <c r="AY15" s="1258"/>
      <c r="AZ15" s="1258"/>
      <c r="BA15" s="1258"/>
      <c r="BB15" s="1258"/>
      <c r="BC15" s="1258"/>
      <c r="BD15" s="1258"/>
      <c r="BE15" s="1258"/>
      <c r="BF15" s="1258"/>
      <c r="BG15" s="1258"/>
      <c r="BH15" s="813"/>
      <c r="BI15" s="1305"/>
      <c r="BJ15" s="1305"/>
      <c r="BK15" s="1305"/>
      <c r="BL15" s="1305"/>
      <c r="BM15" s="1305"/>
      <c r="BN15" s="1305"/>
      <c r="BO15" s="1305"/>
      <c r="BP15" s="1305"/>
      <c r="BQ15" s="1305"/>
      <c r="BR15" s="1305"/>
      <c r="BS15" s="1305"/>
      <c r="BT15" s="1305"/>
      <c r="BU15" s="1305"/>
      <c r="BV15" s="1305"/>
      <c r="BW15" s="1305"/>
      <c r="BX15" s="1305"/>
      <c r="BY15" s="1327"/>
      <c r="BZ15" s="849"/>
      <c r="CB15" s="784"/>
      <c r="CC15" s="810"/>
      <c r="CD15" s="784"/>
      <c r="CE15" s="784"/>
      <c r="CF15" s="784"/>
      <c r="CG15" s="1272" t="s">
        <v>92</v>
      </c>
      <c r="CH15" s="1273"/>
      <c r="CI15" s="1273"/>
      <c r="CJ15" s="1273"/>
      <c r="CK15" s="1273"/>
      <c r="CL15" s="1273"/>
      <c r="CM15" s="1273"/>
      <c r="CN15" s="1273"/>
      <c r="CO15" s="813"/>
      <c r="CP15" s="814"/>
      <c r="CQ15" s="813"/>
      <c r="CR15" s="813"/>
      <c r="CS15" s="1284"/>
      <c r="CT15" s="1284"/>
      <c r="CU15" s="1284"/>
      <c r="CV15" s="1284"/>
      <c r="CW15" s="1284"/>
      <c r="CX15" s="1284"/>
      <c r="CY15" s="1284"/>
      <c r="CZ15" s="1284"/>
      <c r="DA15" s="1284"/>
      <c r="DB15" s="1284"/>
      <c r="DC15" s="1284"/>
      <c r="DD15" s="1284"/>
      <c r="DE15" s="1283"/>
      <c r="DF15" s="1283"/>
      <c r="DG15" s="1283"/>
      <c r="DH15" s="1283"/>
      <c r="DI15" s="1283"/>
      <c r="DJ15" s="1283"/>
      <c r="DK15" s="1283"/>
      <c r="DL15" s="1283"/>
      <c r="DM15" s="1283"/>
      <c r="DP15" s="850"/>
      <c r="DT15" s="817"/>
      <c r="DY15" s="817"/>
      <c r="EB15" s="1272" t="s">
        <v>123</v>
      </c>
      <c r="EC15" s="1273"/>
      <c r="ED15" s="1273"/>
      <c r="EE15" s="1273"/>
      <c r="EF15" s="1273"/>
      <c r="EG15" s="1273"/>
      <c r="EH15" s="1273"/>
      <c r="EI15" s="1273"/>
      <c r="EJ15" s="1273"/>
      <c r="EK15" s="1273"/>
      <c r="EL15" s="1273"/>
      <c r="EM15" s="1273"/>
      <c r="EN15" s="1273"/>
      <c r="EO15" s="813"/>
      <c r="EP15" s="814"/>
      <c r="EQ15" s="1274" t="s">
        <v>115</v>
      </c>
      <c r="ER15" s="1274"/>
      <c r="ES15" s="1274"/>
      <c r="ET15" s="1274"/>
      <c r="EU15" s="1274"/>
      <c r="EV15" s="1274"/>
      <c r="EW15" s="1274"/>
      <c r="EX15" s="1274"/>
      <c r="EY15" s="1274"/>
      <c r="EZ15" s="1274"/>
      <c r="FA15" s="1249"/>
      <c r="FB15" s="1249"/>
      <c r="FC15" s="1249"/>
      <c r="FD15" s="1249"/>
      <c r="FE15" s="1249"/>
      <c r="FF15" s="1249"/>
      <c r="FH15" s="815"/>
      <c r="FL15" s="816"/>
      <c r="FP15" s="816"/>
      <c r="FT15" s="816"/>
    </row>
    <row r="16" spans="1:176" ht="19.899999999999999" customHeight="1" thickBot="1" x14ac:dyDescent="0.3">
      <c r="B16" s="1227"/>
      <c r="C16" s="822">
        <f t="shared" si="0"/>
        <v>12</v>
      </c>
      <c r="D16" s="823"/>
      <c r="E16" s="824"/>
      <c r="F16" s="824"/>
      <c r="G16" s="829"/>
      <c r="H16" s="824"/>
      <c r="I16" s="830"/>
      <c r="J16" s="830"/>
      <c r="K16" s="830"/>
      <c r="L16" s="831"/>
      <c r="M16" s="830"/>
      <c r="N16" s="830"/>
      <c r="O16" s="830"/>
      <c r="P16" s="831"/>
      <c r="Q16" s="830"/>
      <c r="R16" s="830"/>
      <c r="S16" s="830"/>
      <c r="T16" s="830"/>
      <c r="U16" s="832"/>
      <c r="V16" s="830"/>
      <c r="W16" s="830"/>
      <c r="X16" s="830"/>
      <c r="Y16" s="830"/>
      <c r="Z16" s="1265" t="s">
        <v>110</v>
      </c>
      <c r="AA16" s="1266"/>
      <c r="AB16" s="1264"/>
      <c r="AC16" s="1264"/>
      <c r="AD16" s="1264"/>
      <c r="AE16" s="1264"/>
      <c r="AF16" s="1264"/>
      <c r="AG16" s="1264"/>
      <c r="AH16" s="1264"/>
      <c r="AI16" s="1264"/>
      <c r="AJ16" s="1264"/>
      <c r="AK16" s="1264"/>
      <c r="AL16" s="1264"/>
      <c r="AM16" s="1264"/>
      <c r="AN16" s="824"/>
      <c r="AO16" s="824"/>
      <c r="AP16" s="829"/>
      <c r="AQ16" s="824"/>
      <c r="AR16" s="824"/>
      <c r="AS16" s="824"/>
      <c r="AT16" s="1264"/>
      <c r="AU16" s="1264"/>
      <c r="AV16" s="1264"/>
      <c r="AW16" s="1264"/>
      <c r="AX16" s="1264"/>
      <c r="AY16" s="1264"/>
      <c r="AZ16" s="1264"/>
      <c r="BA16" s="1264"/>
      <c r="BB16" s="1264"/>
      <c r="BC16" s="1264"/>
      <c r="BD16" s="1264"/>
      <c r="BE16" s="1264"/>
      <c r="BF16" s="1264"/>
      <c r="BG16" s="1264"/>
      <c r="BH16" s="824"/>
      <c r="BI16" s="1307"/>
      <c r="BJ16" s="1307"/>
      <c r="BK16" s="1307"/>
      <c r="BL16" s="1307"/>
      <c r="BM16" s="1307"/>
      <c r="BN16" s="1307"/>
      <c r="BO16" s="1307"/>
      <c r="BP16" s="1307"/>
      <c r="BQ16" s="1307"/>
      <c r="BR16" s="1307"/>
      <c r="BS16" s="1307"/>
      <c r="BT16" s="1307"/>
      <c r="BU16" s="1307"/>
      <c r="BV16" s="1307"/>
      <c r="BW16" s="1307"/>
      <c r="BX16" s="1307"/>
      <c r="BY16" s="1328"/>
      <c r="BZ16" s="856"/>
      <c r="CA16" s="830"/>
      <c r="CB16" s="830"/>
      <c r="CC16" s="831"/>
      <c r="CD16" s="830"/>
      <c r="CE16" s="830"/>
      <c r="CF16" s="830"/>
      <c r="CG16" s="831"/>
      <c r="CH16" s="824"/>
      <c r="CI16" s="824"/>
      <c r="CJ16" s="1285" t="s">
        <v>98</v>
      </c>
      <c r="CK16" s="1285"/>
      <c r="CL16" s="1285"/>
      <c r="CM16" s="1285"/>
      <c r="CN16" s="1285"/>
      <c r="CO16" s="1286"/>
      <c r="CP16" s="1286"/>
      <c r="CQ16" s="1286"/>
      <c r="CR16" s="1286"/>
      <c r="CS16" s="1286"/>
      <c r="CT16" s="1286"/>
      <c r="CU16" s="1286"/>
      <c r="CV16" s="1286"/>
      <c r="CW16" s="1286"/>
      <c r="CX16" s="1286"/>
      <c r="CY16" s="1286"/>
      <c r="CZ16" s="1286"/>
      <c r="DA16" s="1286"/>
      <c r="DB16" s="1286"/>
      <c r="DC16" s="1286"/>
      <c r="DD16" s="1286"/>
      <c r="DE16" s="824"/>
      <c r="DF16" s="824"/>
      <c r="DG16" s="829"/>
      <c r="DH16" s="824"/>
      <c r="DI16" s="830"/>
      <c r="DJ16" s="830"/>
      <c r="DK16" s="830"/>
      <c r="DL16" s="831"/>
      <c r="DM16" s="830"/>
      <c r="DN16" s="830"/>
      <c r="DO16" s="830"/>
      <c r="DP16" s="857"/>
      <c r="DQ16" s="830"/>
      <c r="DR16" s="830"/>
      <c r="DS16" s="830"/>
      <c r="DT16" s="831"/>
      <c r="DU16" s="830"/>
      <c r="DV16" s="830"/>
      <c r="DW16" s="830"/>
      <c r="DX16" s="827"/>
      <c r="DY16" s="828"/>
      <c r="DZ16" s="860"/>
      <c r="EA16" s="1276" t="s">
        <v>92</v>
      </c>
      <c r="EB16" s="1277"/>
      <c r="EC16" s="1277"/>
      <c r="ED16" s="1277"/>
      <c r="EE16" s="1277"/>
      <c r="EF16" s="1277"/>
      <c r="EG16" s="1277"/>
      <c r="EH16" s="1277"/>
      <c r="EI16" s="1277"/>
      <c r="EJ16" s="824"/>
      <c r="EK16" s="824"/>
      <c r="EL16" s="829"/>
      <c r="EM16" s="824"/>
      <c r="EN16" s="824"/>
      <c r="EO16" s="824"/>
      <c r="EP16" s="829"/>
      <c r="EQ16" s="1275"/>
      <c r="ER16" s="1275"/>
      <c r="ES16" s="1275"/>
      <c r="ET16" s="1275"/>
      <c r="EU16" s="1275"/>
      <c r="EV16" s="1275"/>
      <c r="EW16" s="1275"/>
      <c r="EX16" s="1275"/>
      <c r="EY16" s="1275"/>
      <c r="EZ16" s="1275"/>
      <c r="FA16" s="1275"/>
      <c r="FB16" s="1275"/>
      <c r="FC16" s="1275"/>
      <c r="FD16" s="1275"/>
      <c r="FE16" s="1275"/>
      <c r="FF16" s="1275"/>
      <c r="FG16" s="830"/>
      <c r="FH16" s="839"/>
      <c r="FI16" s="830"/>
      <c r="FJ16" s="830"/>
      <c r="FK16" s="830"/>
      <c r="FL16" s="838"/>
      <c r="FM16" s="830"/>
      <c r="FN16" s="830"/>
      <c r="FO16" s="830"/>
      <c r="FP16" s="838"/>
      <c r="FQ16" s="830"/>
      <c r="FR16" s="830"/>
      <c r="FS16" s="830"/>
      <c r="FT16" s="838"/>
    </row>
    <row r="17" spans="2:176" ht="19.899999999999999" customHeight="1" thickTop="1" x14ac:dyDescent="0.25">
      <c r="B17" s="1267">
        <v>4</v>
      </c>
      <c r="C17" s="840">
        <f t="shared" si="0"/>
        <v>13</v>
      </c>
      <c r="D17" s="797"/>
      <c r="E17" s="798"/>
      <c r="F17" s="798"/>
      <c r="G17" s="803"/>
      <c r="H17" s="798"/>
      <c r="I17" s="804"/>
      <c r="J17" s="804"/>
      <c r="K17" s="804"/>
      <c r="L17" s="861"/>
      <c r="M17" s="804"/>
      <c r="N17" s="804"/>
      <c r="O17" s="804"/>
      <c r="P17" s="861"/>
      <c r="Q17" s="804"/>
      <c r="R17" s="804"/>
      <c r="S17" s="804"/>
      <c r="T17" s="1270" t="s">
        <v>82</v>
      </c>
      <c r="U17" s="1271"/>
      <c r="V17" s="1271"/>
      <c r="W17" s="1271"/>
      <c r="X17" s="1271"/>
      <c r="Y17" s="1271"/>
      <c r="Z17" s="1271"/>
      <c r="AA17" s="1271"/>
      <c r="AB17" s="1271"/>
      <c r="AC17" s="1271"/>
      <c r="AD17" s="1271"/>
      <c r="AE17" s="1271"/>
      <c r="AF17" s="1271"/>
      <c r="AG17" s="1271"/>
      <c r="AH17" s="1271"/>
      <c r="AI17" s="1271"/>
      <c r="AJ17" s="804"/>
      <c r="AK17" s="1248" t="s">
        <v>115</v>
      </c>
      <c r="AL17" s="1248"/>
      <c r="AM17" s="1248"/>
      <c r="AN17" s="1248"/>
      <c r="AO17" s="1248"/>
      <c r="AP17" s="1248"/>
      <c r="AQ17" s="1248"/>
      <c r="AR17" s="1248"/>
      <c r="AS17" s="1248"/>
      <c r="AT17" s="1248"/>
      <c r="AU17" s="1248"/>
      <c r="AV17" s="1248"/>
      <c r="AW17" s="1248"/>
      <c r="AX17" s="1248"/>
      <c r="AY17" s="1248"/>
      <c r="AZ17" s="1248"/>
      <c r="BA17" s="798"/>
      <c r="BB17" s="798"/>
      <c r="BC17" s="798"/>
      <c r="BD17" s="797"/>
      <c r="BE17" s="798"/>
      <c r="BF17" s="798"/>
      <c r="BG17" s="1290" t="s">
        <v>94</v>
      </c>
      <c r="BH17" s="1291"/>
      <c r="BI17" s="1291"/>
      <c r="BJ17" s="1291"/>
      <c r="BK17" s="1291"/>
      <c r="BL17" s="1291"/>
      <c r="BM17" s="1291"/>
      <c r="BN17" s="1291"/>
      <c r="BO17" s="1291"/>
      <c r="BP17" s="1291"/>
      <c r="BQ17" s="1291"/>
      <c r="BR17" s="1291"/>
      <c r="BS17" s="1291"/>
      <c r="BT17" s="1291"/>
      <c r="BU17" s="1291"/>
      <c r="BV17" s="1292"/>
      <c r="BW17" s="804"/>
      <c r="BX17" s="1293" t="s">
        <v>92</v>
      </c>
      <c r="BY17" s="1294"/>
      <c r="BZ17" s="1294"/>
      <c r="CA17" s="1294"/>
      <c r="CB17" s="1294"/>
      <c r="CC17" s="1294"/>
      <c r="CD17" s="1294"/>
      <c r="CE17" s="1294"/>
      <c r="CF17" s="1294"/>
      <c r="CG17" s="1294"/>
      <c r="CH17" s="1294"/>
      <c r="CI17" s="798"/>
      <c r="CJ17" s="1282" t="s">
        <v>96</v>
      </c>
      <c r="CK17" s="1282"/>
      <c r="CL17" s="1282"/>
      <c r="CM17" s="1282"/>
      <c r="CN17" s="1282"/>
      <c r="CO17" s="1282"/>
      <c r="CP17" s="1282"/>
      <c r="CQ17" s="1282"/>
      <c r="CR17" s="1282"/>
      <c r="CS17" s="1282"/>
      <c r="CT17" s="1282"/>
      <c r="CU17" s="1282"/>
      <c r="CV17" s="1282"/>
      <c r="CW17" s="1282"/>
      <c r="CX17" s="1282"/>
      <c r="CY17" s="1282"/>
      <c r="CZ17" s="1282"/>
      <c r="DA17" s="1282"/>
      <c r="DB17" s="1282"/>
      <c r="DC17" s="1282"/>
      <c r="DD17" s="1282"/>
      <c r="DE17" s="798"/>
      <c r="DF17" s="804"/>
      <c r="DG17" s="843"/>
      <c r="DH17" s="1242" t="s">
        <v>145</v>
      </c>
      <c r="DI17" s="1243"/>
      <c r="DJ17" s="1243"/>
      <c r="DK17" s="1243"/>
      <c r="DL17" s="1243"/>
      <c r="DM17" s="1243"/>
      <c r="DN17" s="1243"/>
      <c r="DO17" s="1243"/>
      <c r="DP17" s="1243"/>
      <c r="DQ17" s="1243"/>
      <c r="DR17" s="1243"/>
      <c r="DS17" s="1243"/>
      <c r="DT17" s="1243"/>
      <c r="DU17" s="1243"/>
      <c r="DV17" s="1243"/>
      <c r="DW17" s="1243"/>
      <c r="DX17" s="1243"/>
      <c r="DY17" s="1243"/>
      <c r="DZ17" s="1243"/>
      <c r="EA17" s="1244"/>
      <c r="EB17" s="801"/>
      <c r="EC17" s="802"/>
      <c r="ED17" s="801"/>
      <c r="EE17" s="801"/>
      <c r="EF17" s="801"/>
      <c r="EG17" s="802"/>
      <c r="EH17" s="800"/>
      <c r="EI17" s="1248" t="s">
        <v>77</v>
      </c>
      <c r="EJ17" s="1248"/>
      <c r="EK17" s="1248"/>
      <c r="EL17" s="1248"/>
      <c r="EM17" s="1248"/>
      <c r="EN17" s="1248"/>
      <c r="EO17" s="1248"/>
      <c r="EP17" s="1248"/>
      <c r="EQ17" s="1248"/>
      <c r="ER17" s="1248"/>
      <c r="ES17" s="1248"/>
      <c r="ET17" s="1248"/>
      <c r="EU17" s="1248"/>
      <c r="EV17" s="1248"/>
      <c r="EW17" s="1248"/>
      <c r="EX17" s="804"/>
      <c r="EY17" s="804"/>
      <c r="EZ17" s="807"/>
      <c r="FA17" s="804"/>
      <c r="FB17" s="804"/>
      <c r="FC17" s="806"/>
      <c r="FD17" s="804"/>
      <c r="FE17" s="804"/>
      <c r="FF17" s="804"/>
      <c r="FG17" s="804"/>
      <c r="FH17" s="807"/>
      <c r="FI17" s="804"/>
      <c r="FJ17" s="804"/>
      <c r="FK17" s="804"/>
      <c r="FL17" s="806"/>
      <c r="FM17" s="804"/>
      <c r="FN17" s="804"/>
      <c r="FO17" s="804"/>
      <c r="FP17" s="806"/>
      <c r="FQ17" s="804"/>
      <c r="FR17" s="804"/>
      <c r="FS17" s="804"/>
      <c r="FT17" s="806"/>
    </row>
    <row r="18" spans="2:176" ht="19.899999999999999" customHeight="1" x14ac:dyDescent="0.25">
      <c r="B18" s="1268"/>
      <c r="C18" s="847">
        <f t="shared" si="0"/>
        <v>14</v>
      </c>
      <c r="D18" s="809"/>
      <c r="E18" s="813"/>
      <c r="F18" s="813"/>
      <c r="G18" s="814"/>
      <c r="H18" s="813"/>
      <c r="L18" s="817"/>
      <c r="P18" s="817"/>
      <c r="T18" s="817"/>
      <c r="V18" s="1272" t="s">
        <v>123</v>
      </c>
      <c r="W18" s="1273"/>
      <c r="X18" s="1273"/>
      <c r="Y18" s="1273"/>
      <c r="Z18" s="1273"/>
      <c r="AA18" s="1273"/>
      <c r="AB18" s="1218"/>
      <c r="AC18" s="1218"/>
      <c r="AD18" s="1218"/>
      <c r="AE18" s="1218"/>
      <c r="AF18" s="1218"/>
      <c r="AG18" s="1218"/>
      <c r="AH18" s="1218"/>
      <c r="AI18" s="859"/>
      <c r="AJ18" s="859"/>
      <c r="AK18" s="1249"/>
      <c r="AL18" s="1249"/>
      <c r="AM18" s="1249"/>
      <c r="AN18" s="1249"/>
      <c r="AO18" s="1249"/>
      <c r="AP18" s="1249"/>
      <c r="AQ18" s="1249"/>
      <c r="AR18" s="1249"/>
      <c r="AS18" s="1249"/>
      <c r="AT18" s="1249"/>
      <c r="AU18" s="1249"/>
      <c r="AV18" s="1249"/>
      <c r="AW18" s="1249"/>
      <c r="AX18" s="1249"/>
      <c r="AY18" s="1249"/>
      <c r="AZ18" s="1249"/>
      <c r="BA18" s="813"/>
      <c r="BB18" s="813"/>
      <c r="BC18" s="813"/>
      <c r="BD18" s="809"/>
      <c r="BE18" s="813"/>
      <c r="BF18" s="813"/>
      <c r="BG18" s="814"/>
      <c r="BH18" s="813"/>
      <c r="BL18" s="817"/>
      <c r="BN18" s="1295" t="s">
        <v>94</v>
      </c>
      <c r="BO18" s="1258"/>
      <c r="BP18" s="1258"/>
      <c r="BQ18" s="1258"/>
      <c r="BR18" s="1258"/>
      <c r="BS18" s="1258"/>
      <c r="BT18" s="1258"/>
      <c r="BU18" s="1258"/>
      <c r="BV18" s="1258"/>
      <c r="BW18" s="1258"/>
      <c r="BX18" s="1258"/>
      <c r="BY18" s="1258"/>
      <c r="BZ18" s="1258"/>
      <c r="CA18" s="1258"/>
      <c r="CB18" s="1258"/>
      <c r="CC18" s="1258"/>
      <c r="CD18" s="1258"/>
      <c r="CG18" s="817"/>
      <c r="CH18" s="813"/>
      <c r="CI18" s="813"/>
      <c r="CJ18" s="1283"/>
      <c r="CK18" s="1283"/>
      <c r="CL18" s="1283"/>
      <c r="CM18" s="1283"/>
      <c r="CN18" s="1283"/>
      <c r="CO18" s="1283"/>
      <c r="CP18" s="1283"/>
      <c r="CQ18" s="1283"/>
      <c r="CR18" s="1283"/>
      <c r="CS18" s="1283"/>
      <c r="CT18" s="1283"/>
      <c r="CU18" s="1283"/>
      <c r="CV18" s="1283"/>
      <c r="CW18" s="1283"/>
      <c r="CX18" s="1283"/>
      <c r="CY18" s="1283"/>
      <c r="CZ18" s="1283"/>
      <c r="DA18" s="1283"/>
      <c r="DB18" s="1283"/>
      <c r="DC18" s="1283"/>
      <c r="DD18" s="1283"/>
      <c r="DE18" s="813"/>
      <c r="DG18" s="850"/>
      <c r="DH18" s="1245"/>
      <c r="DI18" s="1246"/>
      <c r="DJ18" s="1246"/>
      <c r="DK18" s="1246"/>
      <c r="DL18" s="1246"/>
      <c r="DM18" s="1246"/>
      <c r="DN18" s="1246"/>
      <c r="DO18" s="1246"/>
      <c r="DP18" s="1246"/>
      <c r="DQ18" s="1246"/>
      <c r="DR18" s="1246"/>
      <c r="DS18" s="1246"/>
      <c r="DT18" s="1246"/>
      <c r="DU18" s="1246"/>
      <c r="DV18" s="1246"/>
      <c r="DW18" s="1246"/>
      <c r="DX18" s="1246"/>
      <c r="DY18" s="1246"/>
      <c r="DZ18" s="1246"/>
      <c r="EA18" s="1247"/>
      <c r="EB18" s="784"/>
      <c r="EC18" s="810"/>
      <c r="ED18" s="784"/>
      <c r="EE18" s="784"/>
      <c r="EF18" s="784"/>
      <c r="EG18" s="810"/>
      <c r="EH18" s="812"/>
      <c r="EI18" s="1249"/>
      <c r="EJ18" s="1249"/>
      <c r="EK18" s="1249"/>
      <c r="EL18" s="1249"/>
      <c r="EM18" s="1249"/>
      <c r="EN18" s="1249"/>
      <c r="EO18" s="1249"/>
      <c r="EP18" s="1249"/>
      <c r="EQ18" s="1249"/>
      <c r="ER18" s="1249"/>
      <c r="ES18" s="1249"/>
      <c r="ET18" s="1249"/>
      <c r="EU18" s="1249"/>
      <c r="EV18" s="1249"/>
      <c r="EW18" s="1249"/>
      <c r="EZ18" s="815"/>
      <c r="FC18" s="816"/>
      <c r="FH18" s="815"/>
      <c r="FL18" s="816"/>
      <c r="FP18" s="816"/>
      <c r="FT18" s="816"/>
    </row>
    <row r="19" spans="2:176" ht="19.899999999999999" customHeight="1" x14ac:dyDescent="0.25">
      <c r="B19" s="1268"/>
      <c r="C19" s="847">
        <f t="shared" si="0"/>
        <v>15</v>
      </c>
      <c r="D19" s="809"/>
      <c r="E19" s="813"/>
      <c r="F19" s="813"/>
      <c r="G19" s="814"/>
      <c r="H19" s="813"/>
      <c r="L19" s="817"/>
      <c r="P19" s="817"/>
      <c r="T19" s="817"/>
      <c r="Y19" s="817"/>
      <c r="AB19" s="1272" t="s">
        <v>123</v>
      </c>
      <c r="AC19" s="1273"/>
      <c r="AD19" s="1273"/>
      <c r="AE19" s="1273"/>
      <c r="AF19" s="1273"/>
      <c r="AG19" s="1273"/>
      <c r="AH19" s="1273"/>
      <c r="AI19" s="1273"/>
      <c r="AJ19" s="1273"/>
      <c r="AK19" s="1273"/>
      <c r="AL19" s="1273"/>
      <c r="AM19" s="1273"/>
      <c r="AN19" s="1273"/>
      <c r="AO19" s="813"/>
      <c r="AP19" s="814"/>
      <c r="AQ19" s="1274" t="s">
        <v>115</v>
      </c>
      <c r="AR19" s="1274"/>
      <c r="AS19" s="1274"/>
      <c r="AT19" s="1274"/>
      <c r="AU19" s="1274"/>
      <c r="AV19" s="1274"/>
      <c r="AW19" s="1274"/>
      <c r="AX19" s="1274"/>
      <c r="AY19" s="1274"/>
      <c r="AZ19" s="1274"/>
      <c r="BA19" s="1249"/>
      <c r="BB19" s="1249"/>
      <c r="BC19" s="1249"/>
      <c r="BD19" s="1249"/>
      <c r="BE19" s="1249"/>
      <c r="BF19" s="1249"/>
      <c r="BG19" s="814"/>
      <c r="BH19" s="813"/>
      <c r="BL19" s="817"/>
      <c r="BP19" s="817"/>
      <c r="BS19" s="1296" t="s">
        <v>94</v>
      </c>
      <c r="BT19" s="1297"/>
      <c r="BU19" s="1297"/>
      <c r="BV19" s="1297"/>
      <c r="BW19" s="1297"/>
      <c r="BX19" s="1297"/>
      <c r="BY19" s="1297"/>
      <c r="BZ19" s="1297"/>
      <c r="CA19" s="1297"/>
      <c r="CB19" s="1297"/>
      <c r="CC19" s="1297"/>
      <c r="CD19" s="1297"/>
      <c r="CE19" s="1297"/>
      <c r="CF19" s="1297"/>
      <c r="CG19" s="1297"/>
      <c r="CH19" s="1297"/>
      <c r="CI19" s="1297"/>
      <c r="CJ19" s="1283"/>
      <c r="CK19" s="1283"/>
      <c r="CL19" s="1283"/>
      <c r="CM19" s="1283"/>
      <c r="CN19" s="1283"/>
      <c r="CO19" s="1283"/>
      <c r="CP19" s="1283"/>
      <c r="CQ19" s="1283"/>
      <c r="CR19" s="1283"/>
      <c r="CS19" s="1283"/>
      <c r="CT19" s="1283"/>
      <c r="CU19" s="1283"/>
      <c r="CV19" s="1283"/>
      <c r="CW19" s="1283"/>
      <c r="CX19" s="1283"/>
      <c r="CY19" s="1283"/>
      <c r="CZ19" s="1283"/>
      <c r="DA19" s="1283"/>
      <c r="DB19" s="1283"/>
      <c r="DC19" s="1283"/>
      <c r="DD19" s="1283"/>
      <c r="DE19" s="813"/>
      <c r="DG19" s="850"/>
      <c r="DH19" s="812"/>
      <c r="DI19" s="784"/>
      <c r="DJ19" s="784"/>
      <c r="DK19" s="784"/>
      <c r="DL19" s="810"/>
      <c r="DM19" s="784"/>
      <c r="DN19" s="784"/>
      <c r="DO19" s="784"/>
      <c r="DP19" s="810"/>
      <c r="DQ19" s="784"/>
      <c r="DR19" s="784"/>
      <c r="DS19" s="852"/>
      <c r="DT19" s="1250" t="s">
        <v>145</v>
      </c>
      <c r="DU19" s="1216"/>
      <c r="DV19" s="1216"/>
      <c r="DW19" s="1216"/>
      <c r="DX19" s="1216"/>
      <c r="DY19" s="1216"/>
      <c r="DZ19" s="1216"/>
      <c r="EA19" s="1216"/>
      <c r="EB19" s="1216"/>
      <c r="EC19" s="1216"/>
      <c r="ED19" s="1216"/>
      <c r="EE19" s="1216"/>
      <c r="EF19" s="1216"/>
      <c r="EG19" s="1216"/>
      <c r="EH19" s="1216"/>
      <c r="EI19" s="1216"/>
      <c r="EJ19" s="1216"/>
      <c r="EK19" s="1216"/>
      <c r="EL19" s="1217"/>
      <c r="EM19" s="812"/>
      <c r="EN19" s="812"/>
      <c r="EO19" s="812"/>
      <c r="EP19" s="811"/>
      <c r="EQ19" s="812"/>
      <c r="ER19" s="812"/>
      <c r="ES19" s="812"/>
      <c r="ET19" s="812"/>
      <c r="EU19" s="811"/>
      <c r="EV19" s="812"/>
      <c r="EW19" s="813"/>
      <c r="EZ19" s="815"/>
      <c r="FC19" s="816"/>
      <c r="FH19" s="815"/>
      <c r="FL19" s="816"/>
      <c r="FP19" s="816"/>
      <c r="FT19" s="816"/>
    </row>
    <row r="20" spans="2:176" ht="19.899999999999999" customHeight="1" thickBot="1" x14ac:dyDescent="0.3">
      <c r="B20" s="1269"/>
      <c r="C20" s="853">
        <f t="shared" si="0"/>
        <v>16</v>
      </c>
      <c r="D20" s="823"/>
      <c r="E20" s="824"/>
      <c r="F20" s="824"/>
      <c r="G20" s="829"/>
      <c r="H20" s="824"/>
      <c r="I20" s="830"/>
      <c r="J20" s="830"/>
      <c r="K20" s="830"/>
      <c r="L20" s="831"/>
      <c r="M20" s="830"/>
      <c r="N20" s="830"/>
      <c r="O20" s="830"/>
      <c r="P20" s="831"/>
      <c r="Q20" s="830"/>
      <c r="R20" s="830"/>
      <c r="S20" s="830"/>
      <c r="T20" s="831"/>
      <c r="U20" s="830"/>
      <c r="V20" s="830"/>
      <c r="W20" s="830"/>
      <c r="X20" s="827"/>
      <c r="Y20" s="828"/>
      <c r="Z20" s="860"/>
      <c r="AA20" s="1276" t="s">
        <v>92</v>
      </c>
      <c r="AB20" s="1277"/>
      <c r="AC20" s="1277"/>
      <c r="AD20" s="1277"/>
      <c r="AE20" s="1277"/>
      <c r="AF20" s="1277"/>
      <c r="AG20" s="1277"/>
      <c r="AH20" s="1277"/>
      <c r="AI20" s="1277"/>
      <c r="AJ20" s="824"/>
      <c r="AK20" s="824"/>
      <c r="AL20" s="829"/>
      <c r="AM20" s="824"/>
      <c r="AN20" s="824"/>
      <c r="AO20" s="824"/>
      <c r="AP20" s="829"/>
      <c r="AQ20" s="1275"/>
      <c r="AR20" s="1275"/>
      <c r="AS20" s="1275"/>
      <c r="AT20" s="1275"/>
      <c r="AU20" s="1275"/>
      <c r="AV20" s="1275"/>
      <c r="AW20" s="1275"/>
      <c r="AX20" s="1275"/>
      <c r="AY20" s="1275"/>
      <c r="AZ20" s="1275"/>
      <c r="BA20" s="1275"/>
      <c r="BB20" s="1275"/>
      <c r="BC20" s="1275"/>
      <c r="BD20" s="1275"/>
      <c r="BE20" s="1275"/>
      <c r="BF20" s="1275"/>
      <c r="BG20" s="829"/>
      <c r="BH20" s="824"/>
      <c r="BI20" s="830"/>
      <c r="BJ20" s="830"/>
      <c r="BK20" s="830"/>
      <c r="BL20" s="831"/>
      <c r="BM20" s="830"/>
      <c r="BN20" s="830"/>
      <c r="BO20" s="830"/>
      <c r="BP20" s="831"/>
      <c r="BQ20" s="830"/>
      <c r="BR20" s="830"/>
      <c r="BS20" s="830"/>
      <c r="BT20" s="831"/>
      <c r="BU20" s="830"/>
      <c r="BV20" s="830"/>
      <c r="BW20" s="830"/>
      <c r="BX20" s="830"/>
      <c r="BY20" s="831"/>
      <c r="BZ20" s="830"/>
      <c r="CA20" s="830"/>
      <c r="CB20" s="830"/>
      <c r="CC20" s="831"/>
      <c r="CD20" s="830"/>
      <c r="CE20" s="830"/>
      <c r="CF20" s="830"/>
      <c r="CG20" s="831"/>
      <c r="CH20" s="824"/>
      <c r="CI20" s="824"/>
      <c r="CJ20" s="1286" t="s">
        <v>98</v>
      </c>
      <c r="CK20" s="1286"/>
      <c r="CL20" s="1286"/>
      <c r="CM20" s="1286"/>
      <c r="CN20" s="1286"/>
      <c r="CO20" s="1286"/>
      <c r="CP20" s="1286"/>
      <c r="CQ20" s="1286"/>
      <c r="CR20" s="1286"/>
      <c r="CS20" s="1286"/>
      <c r="CT20" s="1286"/>
      <c r="CU20" s="1286"/>
      <c r="CV20" s="1286"/>
      <c r="CW20" s="1286"/>
      <c r="CX20" s="1286"/>
      <c r="CY20" s="1286"/>
      <c r="CZ20" s="1286"/>
      <c r="DA20" s="1286"/>
      <c r="DB20" s="1286"/>
      <c r="DC20" s="1286"/>
      <c r="DD20" s="1286"/>
      <c r="DE20" s="824"/>
      <c r="DF20" s="830"/>
      <c r="DG20" s="857"/>
      <c r="DH20" s="826"/>
      <c r="DI20" s="827"/>
      <c r="DJ20" s="827"/>
      <c r="DK20" s="827"/>
      <c r="DL20" s="828"/>
      <c r="DM20" s="827"/>
      <c r="DN20" s="827"/>
      <c r="DO20" s="827"/>
      <c r="DP20" s="828"/>
      <c r="DQ20" s="827"/>
      <c r="DR20" s="827"/>
      <c r="DS20" s="828"/>
      <c r="DT20" s="1251"/>
      <c r="DU20" s="1252"/>
      <c r="DV20" s="1252"/>
      <c r="DW20" s="1252"/>
      <c r="DX20" s="1252"/>
      <c r="DY20" s="1252"/>
      <c r="DZ20" s="1252"/>
      <c r="EA20" s="1252"/>
      <c r="EB20" s="1252"/>
      <c r="EC20" s="1252"/>
      <c r="ED20" s="1252"/>
      <c r="EE20" s="1252"/>
      <c r="EF20" s="1252"/>
      <c r="EG20" s="1252"/>
      <c r="EH20" s="1252"/>
      <c r="EI20" s="1252"/>
      <c r="EJ20" s="1252"/>
      <c r="EK20" s="1252"/>
      <c r="EL20" s="1253"/>
      <c r="EM20" s="826"/>
      <c r="EN20" s="826"/>
      <c r="EO20" s="826"/>
      <c r="EP20" s="825"/>
      <c r="EQ20" s="826"/>
      <c r="ER20" s="826"/>
      <c r="ES20" s="826"/>
      <c r="ET20" s="826"/>
      <c r="EU20" s="825"/>
      <c r="EV20" s="826"/>
      <c r="EW20" s="824"/>
      <c r="EX20" s="830"/>
      <c r="EY20" s="830"/>
      <c r="EZ20" s="839"/>
      <c r="FA20" s="830"/>
      <c r="FB20" s="830"/>
      <c r="FC20" s="838"/>
      <c r="FD20" s="830"/>
      <c r="FE20" s="830"/>
      <c r="FF20" s="830"/>
      <c r="FG20" s="830"/>
      <c r="FH20" s="839"/>
      <c r="FI20" s="830"/>
      <c r="FJ20" s="830"/>
      <c r="FK20" s="830"/>
      <c r="FL20" s="838"/>
      <c r="FM20" s="830"/>
      <c r="FN20" s="830"/>
      <c r="FO20" s="830"/>
      <c r="FP20" s="838"/>
      <c r="FQ20" s="830"/>
      <c r="FR20" s="830"/>
      <c r="FS20" s="830"/>
      <c r="FT20" s="838"/>
    </row>
    <row r="21" spans="2:176" ht="19.899999999999999" customHeight="1" thickTop="1" x14ac:dyDescent="0.25">
      <c r="B21" s="1287">
        <v>5</v>
      </c>
      <c r="C21" s="796">
        <f t="shared" si="0"/>
        <v>17</v>
      </c>
      <c r="D21" s="797"/>
      <c r="E21" s="798"/>
      <c r="F21" s="798"/>
      <c r="G21" s="1290" t="s">
        <v>94</v>
      </c>
      <c r="H21" s="1291"/>
      <c r="I21" s="1291"/>
      <c r="J21" s="1291"/>
      <c r="K21" s="1291"/>
      <c r="L21" s="1291"/>
      <c r="M21" s="1291"/>
      <c r="N21" s="1291"/>
      <c r="O21" s="1291"/>
      <c r="P21" s="1291"/>
      <c r="Q21" s="1291"/>
      <c r="R21" s="1291"/>
      <c r="S21" s="1291"/>
      <c r="T21" s="1291"/>
      <c r="U21" s="1291"/>
      <c r="V21" s="1292"/>
      <c r="W21" s="804"/>
      <c r="X21" s="1293" t="s">
        <v>92</v>
      </c>
      <c r="Y21" s="1294"/>
      <c r="Z21" s="1294"/>
      <c r="AA21" s="1294"/>
      <c r="AB21" s="1294"/>
      <c r="AC21" s="1294"/>
      <c r="AD21" s="1294"/>
      <c r="AE21" s="1294"/>
      <c r="AF21" s="1294"/>
      <c r="AG21" s="1294"/>
      <c r="AH21" s="1294"/>
      <c r="AI21" s="798"/>
      <c r="AJ21" s="1282" t="s">
        <v>96</v>
      </c>
      <c r="AK21" s="1282"/>
      <c r="AL21" s="1282"/>
      <c r="AM21" s="1282"/>
      <c r="AN21" s="1282"/>
      <c r="AO21" s="1282"/>
      <c r="AP21" s="1282"/>
      <c r="AQ21" s="1282"/>
      <c r="AR21" s="1282"/>
      <c r="AS21" s="1282"/>
      <c r="AT21" s="1282"/>
      <c r="AU21" s="1282"/>
      <c r="AV21" s="1282"/>
      <c r="AW21" s="1282"/>
      <c r="AX21" s="1282"/>
      <c r="AY21" s="1282"/>
      <c r="AZ21" s="1282"/>
      <c r="BA21" s="1282"/>
      <c r="BB21" s="1282"/>
      <c r="BC21" s="1282"/>
      <c r="BD21" s="1282"/>
      <c r="BE21" s="798"/>
      <c r="BF21" s="798"/>
      <c r="BG21" s="799"/>
      <c r="BH21" s="800"/>
      <c r="BI21" s="801"/>
      <c r="BJ21" s="801"/>
      <c r="BK21" s="801"/>
      <c r="BL21" s="802"/>
      <c r="BM21" s="801"/>
      <c r="BN21" s="801"/>
      <c r="BO21" s="1228" t="s">
        <v>97</v>
      </c>
      <c r="BP21" s="1229"/>
      <c r="BQ21" s="1229"/>
      <c r="BR21" s="1230"/>
      <c r="BS21" s="1230"/>
      <c r="BT21" s="1230"/>
      <c r="BU21" s="1230"/>
      <c r="BV21" s="1230"/>
      <c r="BW21" s="1230"/>
      <c r="BX21" s="1230"/>
      <c r="BY21" s="1230"/>
      <c r="BZ21" s="1230"/>
      <c r="CA21" s="1230"/>
      <c r="CB21" s="1230"/>
      <c r="CC21" s="1230"/>
      <c r="CD21" s="1230"/>
      <c r="CE21" s="1230"/>
      <c r="CF21" s="1230"/>
      <c r="CG21" s="1230"/>
      <c r="CH21" s="1230"/>
      <c r="CI21" s="1230"/>
      <c r="CJ21" s="1230"/>
      <c r="CK21" s="1230"/>
      <c r="CL21" s="1230"/>
      <c r="CM21" s="1230"/>
      <c r="CN21" s="1230"/>
      <c r="CO21" s="1230"/>
      <c r="CP21" s="1230"/>
      <c r="CQ21" s="1230"/>
      <c r="CR21" s="1230"/>
      <c r="CS21" s="1230"/>
      <c r="CT21" s="1230"/>
      <c r="CU21" s="1230"/>
      <c r="CV21" s="1231"/>
      <c r="CW21" s="804"/>
      <c r="CX21" s="804"/>
      <c r="CY21" s="804"/>
      <c r="CZ21" s="842"/>
      <c r="DA21" s="804"/>
      <c r="DB21" s="804"/>
      <c r="DC21" s="843"/>
      <c r="DD21" s="842"/>
      <c r="DE21" s="804"/>
      <c r="DF21" s="804"/>
      <c r="DG21" s="1290" t="s">
        <v>94</v>
      </c>
      <c r="DH21" s="1291"/>
      <c r="DI21" s="1291"/>
      <c r="DJ21" s="1291"/>
      <c r="DK21" s="1291"/>
      <c r="DL21" s="1291"/>
      <c r="DM21" s="1291"/>
      <c r="DN21" s="1291"/>
      <c r="DO21" s="1291"/>
      <c r="DP21" s="1291"/>
      <c r="DQ21" s="1291"/>
      <c r="DR21" s="1291"/>
      <c r="DS21" s="1291"/>
      <c r="DT21" s="1291"/>
      <c r="DU21" s="1291"/>
      <c r="DV21" s="1292"/>
      <c r="DW21" s="804"/>
      <c r="DX21" s="1293" t="s">
        <v>92</v>
      </c>
      <c r="DY21" s="1294"/>
      <c r="DZ21" s="1294"/>
      <c r="EA21" s="1294"/>
      <c r="EB21" s="1294"/>
      <c r="EC21" s="1294"/>
      <c r="ED21" s="1294"/>
      <c r="EE21" s="1294"/>
      <c r="EF21" s="1294"/>
      <c r="EG21" s="1294"/>
      <c r="EH21" s="1294"/>
      <c r="EI21" s="798"/>
      <c r="EJ21" s="1282" t="s">
        <v>96</v>
      </c>
      <c r="EK21" s="1282"/>
      <c r="EL21" s="1282"/>
      <c r="EM21" s="1282"/>
      <c r="EN21" s="1282"/>
      <c r="EO21" s="1282"/>
      <c r="EP21" s="1282"/>
      <c r="EQ21" s="1282"/>
      <c r="ER21" s="1282"/>
      <c r="ES21" s="1282"/>
      <c r="ET21" s="1282"/>
      <c r="EU21" s="1282"/>
      <c r="EV21" s="1282"/>
      <c r="EW21" s="1282"/>
      <c r="EX21" s="1282"/>
      <c r="EY21" s="1282"/>
      <c r="EZ21" s="1282"/>
      <c r="FA21" s="1282"/>
      <c r="FB21" s="1282"/>
      <c r="FC21" s="1282"/>
      <c r="FD21" s="1282"/>
      <c r="FE21" s="798"/>
      <c r="FF21" s="798"/>
      <c r="FG21" s="799"/>
      <c r="FH21" s="800"/>
      <c r="FI21" s="801"/>
      <c r="FJ21" s="801"/>
      <c r="FK21" s="801"/>
      <c r="FL21" s="802"/>
      <c r="FM21" s="801"/>
      <c r="FN21" s="801"/>
      <c r="FO21" s="1228" t="s">
        <v>97</v>
      </c>
      <c r="FP21" s="1229"/>
      <c r="FQ21" s="1229"/>
      <c r="FR21" s="1230"/>
      <c r="FS21" s="1230"/>
      <c r="FT21" s="1230"/>
    </row>
    <row r="22" spans="2:176" ht="19.899999999999999" customHeight="1" x14ac:dyDescent="0.25">
      <c r="B22" s="1288"/>
      <c r="C22" s="808">
        <f t="shared" si="0"/>
        <v>18</v>
      </c>
      <c r="D22" s="809"/>
      <c r="E22" s="813"/>
      <c r="F22" s="813"/>
      <c r="G22" s="814"/>
      <c r="H22" s="813"/>
      <c r="L22" s="817"/>
      <c r="N22" s="1295" t="s">
        <v>94</v>
      </c>
      <c r="O22" s="1258"/>
      <c r="P22" s="1258"/>
      <c r="Q22" s="1258"/>
      <c r="R22" s="1258"/>
      <c r="S22" s="1258"/>
      <c r="T22" s="1258"/>
      <c r="U22" s="1258"/>
      <c r="V22" s="1258"/>
      <c r="W22" s="1258"/>
      <c r="X22" s="1258"/>
      <c r="Y22" s="1258"/>
      <c r="Z22" s="1258"/>
      <c r="AA22" s="1258"/>
      <c r="AB22" s="1258"/>
      <c r="AC22" s="1258"/>
      <c r="AD22" s="1258"/>
      <c r="AG22" s="817"/>
      <c r="AH22" s="813"/>
      <c r="AI22" s="813"/>
      <c r="AJ22" s="1283"/>
      <c r="AK22" s="1283"/>
      <c r="AL22" s="1283"/>
      <c r="AM22" s="1283"/>
      <c r="AN22" s="1283"/>
      <c r="AO22" s="1283"/>
      <c r="AP22" s="1283"/>
      <c r="AQ22" s="1283"/>
      <c r="AR22" s="1283"/>
      <c r="AS22" s="1283"/>
      <c r="AT22" s="1283"/>
      <c r="AU22" s="1283"/>
      <c r="AV22" s="1283"/>
      <c r="AW22" s="1283"/>
      <c r="AX22" s="1283"/>
      <c r="AY22" s="1283"/>
      <c r="AZ22" s="1283"/>
      <c r="BA22" s="1283"/>
      <c r="BB22" s="1283"/>
      <c r="BC22" s="1283"/>
      <c r="BD22" s="1283"/>
      <c r="BE22" s="1232" t="s">
        <v>80</v>
      </c>
      <c r="BF22" s="1232"/>
      <c r="BG22" s="1232"/>
      <c r="BH22" s="1232"/>
      <c r="BI22" s="1232"/>
      <c r="BJ22" s="1232"/>
      <c r="BK22" s="1232"/>
      <c r="BL22" s="1232"/>
      <c r="BM22" s="1232"/>
      <c r="BN22" s="1232"/>
      <c r="BO22" s="1232"/>
      <c r="BP22" s="1232"/>
      <c r="BQ22" s="1232"/>
      <c r="BR22" s="784"/>
      <c r="BS22" s="784"/>
      <c r="BT22" s="810"/>
      <c r="BU22" s="784"/>
      <c r="BV22" s="784"/>
      <c r="BW22" s="1233" t="s">
        <v>134</v>
      </c>
      <c r="BX22" s="1233"/>
      <c r="BY22" s="1233"/>
      <c r="BZ22" s="1233"/>
      <c r="CA22" s="1233"/>
      <c r="CB22" s="1233"/>
      <c r="CC22" s="1233"/>
      <c r="CD22" s="1233"/>
      <c r="CE22" s="1233"/>
      <c r="CF22" s="1233"/>
      <c r="CG22" s="1233"/>
      <c r="CH22" s="1233"/>
      <c r="CI22" s="1233"/>
      <c r="CJ22" s="1233"/>
      <c r="CK22" s="1233"/>
      <c r="CL22" s="811"/>
      <c r="CM22" s="812"/>
      <c r="CN22" s="812"/>
      <c r="CO22" s="812"/>
      <c r="CP22" s="811"/>
      <c r="CQ22" s="812"/>
      <c r="CR22" s="812"/>
      <c r="CS22" s="812"/>
      <c r="CT22" s="812"/>
      <c r="CU22" s="811"/>
      <c r="CV22" s="812"/>
      <c r="CZ22" s="849"/>
      <c r="DC22" s="850"/>
      <c r="DD22" s="849"/>
      <c r="DG22" s="814"/>
      <c r="DH22" s="813"/>
      <c r="DL22" s="817"/>
      <c r="DN22" s="1295" t="s">
        <v>94</v>
      </c>
      <c r="DO22" s="1258"/>
      <c r="DP22" s="1258"/>
      <c r="DQ22" s="1258"/>
      <c r="DR22" s="1258"/>
      <c r="DS22" s="1258"/>
      <c r="DT22" s="1258"/>
      <c r="DU22" s="1258"/>
      <c r="DV22" s="1258"/>
      <c r="DW22" s="1258"/>
      <c r="DX22" s="1258"/>
      <c r="DY22" s="1258"/>
      <c r="DZ22" s="1258"/>
      <c r="EA22" s="1258"/>
      <c r="EB22" s="1258"/>
      <c r="EC22" s="1258"/>
      <c r="ED22" s="1258"/>
      <c r="EG22" s="817"/>
      <c r="EH22" s="813"/>
      <c r="EI22" s="813"/>
      <c r="EJ22" s="1283"/>
      <c r="EK22" s="1283"/>
      <c r="EL22" s="1283"/>
      <c r="EM22" s="1283"/>
      <c r="EN22" s="1283"/>
      <c r="EO22" s="1283"/>
      <c r="EP22" s="1283"/>
      <c r="EQ22" s="1283"/>
      <c r="ER22" s="1283"/>
      <c r="ES22" s="1283"/>
      <c r="ET22" s="1283"/>
      <c r="EU22" s="1283"/>
      <c r="EV22" s="1283"/>
      <c r="EW22" s="1283"/>
      <c r="EX22" s="1283"/>
      <c r="EY22" s="1283"/>
      <c r="EZ22" s="1283"/>
      <c r="FA22" s="1283"/>
      <c r="FB22" s="1283"/>
      <c r="FC22" s="1283"/>
      <c r="FD22" s="1283"/>
      <c r="FE22" s="1232" t="s">
        <v>80</v>
      </c>
      <c r="FF22" s="1232"/>
      <c r="FG22" s="1232"/>
      <c r="FH22" s="1232"/>
      <c r="FI22" s="1232"/>
      <c r="FJ22" s="1232"/>
      <c r="FK22" s="1232"/>
      <c r="FL22" s="1232"/>
      <c r="FM22" s="1232"/>
      <c r="FN22" s="1232"/>
      <c r="FO22" s="1232"/>
      <c r="FP22" s="1232"/>
      <c r="FQ22" s="1232"/>
      <c r="FR22" s="784"/>
      <c r="FS22" s="784"/>
      <c r="FT22" s="810"/>
    </row>
    <row r="23" spans="2:176" ht="19.899999999999999" customHeight="1" x14ac:dyDescent="0.25">
      <c r="B23" s="1288"/>
      <c r="C23" s="808">
        <f t="shared" si="0"/>
        <v>19</v>
      </c>
      <c r="D23" s="809"/>
      <c r="E23" s="813"/>
      <c r="F23" s="813"/>
      <c r="G23" s="814"/>
      <c r="H23" s="813"/>
      <c r="L23" s="817"/>
      <c r="P23" s="817"/>
      <c r="S23" s="1296" t="s">
        <v>94</v>
      </c>
      <c r="T23" s="1297"/>
      <c r="U23" s="1297"/>
      <c r="V23" s="1297"/>
      <c r="W23" s="1297"/>
      <c r="X23" s="1297"/>
      <c r="Y23" s="1297"/>
      <c r="Z23" s="1297"/>
      <c r="AA23" s="1297"/>
      <c r="AB23" s="1297"/>
      <c r="AC23" s="1297"/>
      <c r="AD23" s="1297"/>
      <c r="AE23" s="1297"/>
      <c r="AF23" s="1297"/>
      <c r="AG23" s="1297"/>
      <c r="AH23" s="1297"/>
      <c r="AI23" s="1297"/>
      <c r="AJ23" s="1283"/>
      <c r="AK23" s="1283"/>
      <c r="AL23" s="1283"/>
      <c r="AM23" s="1283"/>
      <c r="AN23" s="1283"/>
      <c r="AO23" s="1283"/>
      <c r="AP23" s="1283"/>
      <c r="AQ23" s="1283"/>
      <c r="AR23" s="1283"/>
      <c r="AS23" s="1283"/>
      <c r="AT23" s="1283"/>
      <c r="AU23" s="1283"/>
      <c r="AV23" s="1283"/>
      <c r="AW23" s="1283"/>
      <c r="AX23" s="1283"/>
      <c r="AY23" s="1283"/>
      <c r="AZ23" s="1283"/>
      <c r="BA23" s="1283"/>
      <c r="BB23" s="1283"/>
      <c r="BC23" s="1283"/>
      <c r="BD23" s="1283"/>
      <c r="BE23" s="813"/>
      <c r="BF23" s="813"/>
      <c r="BG23" s="811"/>
      <c r="BH23" s="812"/>
      <c r="BI23" s="784"/>
      <c r="BJ23" s="1232" t="s">
        <v>80</v>
      </c>
      <c r="BK23" s="1232"/>
      <c r="BL23" s="1232"/>
      <c r="BM23" s="1232"/>
      <c r="BN23" s="1232"/>
      <c r="BO23" s="1232"/>
      <c r="BP23" s="1232"/>
      <c r="BQ23" s="1232"/>
      <c r="BR23" s="1232"/>
      <c r="BS23" s="1232"/>
      <c r="BT23" s="1232"/>
      <c r="BU23" s="1232"/>
      <c r="BV23" s="1232"/>
      <c r="BW23" s="784"/>
      <c r="BX23" s="784"/>
      <c r="BY23" s="810"/>
      <c r="BZ23" s="1234" t="s">
        <v>134</v>
      </c>
      <c r="CA23" s="1235"/>
      <c r="CB23" s="1235"/>
      <c r="CC23" s="1235"/>
      <c r="CD23" s="1235"/>
      <c r="CE23" s="1235"/>
      <c r="CF23" s="1235"/>
      <c r="CG23" s="1235"/>
      <c r="CH23" s="1235"/>
      <c r="CI23" s="1235"/>
      <c r="CJ23" s="1235"/>
      <c r="CK23" s="1235"/>
      <c r="CL23" s="1235"/>
      <c r="CM23" s="1235"/>
      <c r="CN23" s="1236"/>
      <c r="CO23" s="812"/>
      <c r="CP23" s="811"/>
      <c r="CQ23" s="812"/>
      <c r="CR23" s="812"/>
      <c r="CS23" s="812"/>
      <c r="CT23" s="812"/>
      <c r="CU23" s="811"/>
      <c r="CV23" s="812"/>
      <c r="CZ23" s="849"/>
      <c r="DC23" s="850"/>
      <c r="DD23" s="849"/>
      <c r="DG23" s="814"/>
      <c r="DH23" s="813"/>
      <c r="DL23" s="817"/>
      <c r="DP23" s="817"/>
      <c r="DS23" s="1296" t="s">
        <v>94</v>
      </c>
      <c r="DT23" s="1297"/>
      <c r="DU23" s="1297"/>
      <c r="DV23" s="1297"/>
      <c r="DW23" s="1297"/>
      <c r="DX23" s="1297"/>
      <c r="DY23" s="1297"/>
      <c r="DZ23" s="1297"/>
      <c r="EA23" s="1297"/>
      <c r="EB23" s="1297"/>
      <c r="EC23" s="1297"/>
      <c r="ED23" s="1297"/>
      <c r="EE23" s="1297"/>
      <c r="EF23" s="1297"/>
      <c r="EG23" s="1297"/>
      <c r="EH23" s="1297"/>
      <c r="EI23" s="1297"/>
      <c r="EJ23" s="1283"/>
      <c r="EK23" s="1283"/>
      <c r="EL23" s="1283"/>
      <c r="EM23" s="1283"/>
      <c r="EN23" s="1283"/>
      <c r="EO23" s="1283"/>
      <c r="EP23" s="1283"/>
      <c r="EQ23" s="1283"/>
      <c r="ER23" s="1283"/>
      <c r="ES23" s="1283"/>
      <c r="ET23" s="1283"/>
      <c r="EU23" s="1283"/>
      <c r="EV23" s="1283"/>
      <c r="EW23" s="1283"/>
      <c r="EX23" s="1283"/>
      <c r="EY23" s="1283"/>
      <c r="EZ23" s="1283"/>
      <c r="FA23" s="1283"/>
      <c r="FB23" s="1283"/>
      <c r="FC23" s="1283"/>
      <c r="FD23" s="1283"/>
      <c r="FE23" s="813"/>
      <c r="FF23" s="813"/>
      <c r="FG23" s="811"/>
      <c r="FH23" s="812"/>
      <c r="FI23" s="784"/>
      <c r="FJ23" s="1232" t="s">
        <v>80</v>
      </c>
      <c r="FK23" s="1232"/>
      <c r="FL23" s="1232"/>
      <c r="FM23" s="1232"/>
      <c r="FN23" s="1232"/>
      <c r="FO23" s="1232"/>
      <c r="FP23" s="1232"/>
      <c r="FQ23" s="1232"/>
      <c r="FR23" s="1232"/>
      <c r="FS23" s="1232"/>
      <c r="FT23" s="1232"/>
    </row>
    <row r="24" spans="2:176" ht="19.899999999999999" customHeight="1" thickBot="1" x14ac:dyDescent="0.3">
      <c r="B24" s="1289"/>
      <c r="C24" s="822">
        <f t="shared" si="0"/>
        <v>20</v>
      </c>
      <c r="D24" s="823"/>
      <c r="E24" s="824"/>
      <c r="F24" s="824"/>
      <c r="G24" s="829"/>
      <c r="H24" s="824"/>
      <c r="I24" s="830"/>
      <c r="J24" s="830"/>
      <c r="K24" s="830"/>
      <c r="L24" s="831"/>
      <c r="M24" s="830"/>
      <c r="N24" s="830"/>
      <c r="O24" s="830"/>
      <c r="P24" s="831"/>
      <c r="Q24" s="830"/>
      <c r="R24" s="830"/>
      <c r="S24" s="830"/>
      <c r="T24" s="831"/>
      <c r="U24" s="830"/>
      <c r="V24" s="830"/>
      <c r="W24" s="830"/>
      <c r="X24" s="830"/>
      <c r="Y24" s="831"/>
      <c r="Z24" s="830"/>
      <c r="AA24" s="830"/>
      <c r="AB24" s="830"/>
      <c r="AC24" s="831"/>
      <c r="AD24" s="830"/>
      <c r="AE24" s="830"/>
      <c r="AF24" s="830"/>
      <c r="AG24" s="831"/>
      <c r="AH24" s="824"/>
      <c r="AI24" s="824"/>
      <c r="AJ24" s="1286" t="s">
        <v>98</v>
      </c>
      <c r="AK24" s="1286"/>
      <c r="AL24" s="1286"/>
      <c r="AM24" s="1286"/>
      <c r="AN24" s="1286"/>
      <c r="AO24" s="1286"/>
      <c r="AP24" s="1286"/>
      <c r="AQ24" s="1286"/>
      <c r="AR24" s="1286"/>
      <c r="AS24" s="1286"/>
      <c r="AT24" s="1286"/>
      <c r="AU24" s="1286"/>
      <c r="AV24" s="1286"/>
      <c r="AW24" s="1286"/>
      <c r="AX24" s="1286"/>
      <c r="AY24" s="1286"/>
      <c r="AZ24" s="1286"/>
      <c r="BA24" s="1286"/>
      <c r="BB24" s="1286"/>
      <c r="BC24" s="1286"/>
      <c r="BD24" s="1286"/>
      <c r="BE24" s="824"/>
      <c r="BF24" s="824"/>
      <c r="BG24" s="825"/>
      <c r="BH24" s="826"/>
      <c r="BI24" s="827"/>
      <c r="BJ24" s="827"/>
      <c r="BK24" s="827"/>
      <c r="BL24" s="828"/>
      <c r="BM24" s="1237" t="s">
        <v>80</v>
      </c>
      <c r="BN24" s="1237"/>
      <c r="BO24" s="1237"/>
      <c r="BP24" s="1237"/>
      <c r="BQ24" s="1237"/>
      <c r="BR24" s="1237"/>
      <c r="BS24" s="1237"/>
      <c r="BT24" s="1237"/>
      <c r="BU24" s="1237"/>
      <c r="BV24" s="1237"/>
      <c r="BW24" s="1237"/>
      <c r="BX24" s="1237"/>
      <c r="BY24" s="1237"/>
      <c r="BZ24" s="1237"/>
      <c r="CA24" s="1237"/>
      <c r="CB24" s="827"/>
      <c r="CC24" s="828"/>
      <c r="CD24" s="827"/>
      <c r="CE24" s="1238" t="s">
        <v>134</v>
      </c>
      <c r="CF24" s="1238"/>
      <c r="CG24" s="1238"/>
      <c r="CH24" s="1238"/>
      <c r="CI24" s="1238"/>
      <c r="CJ24" s="1238"/>
      <c r="CK24" s="1238"/>
      <c r="CL24" s="1238"/>
      <c r="CM24" s="1238"/>
      <c r="CN24" s="1238"/>
      <c r="CO24" s="1238"/>
      <c r="CP24" s="1238"/>
      <c r="CQ24" s="1238"/>
      <c r="CR24" s="1238"/>
      <c r="CS24" s="826"/>
      <c r="CT24" s="826"/>
      <c r="CU24" s="825"/>
      <c r="CV24" s="826"/>
      <c r="CW24" s="830"/>
      <c r="CX24" s="830"/>
      <c r="CY24" s="830"/>
      <c r="CZ24" s="856"/>
      <c r="DA24" s="830"/>
      <c r="DB24" s="830"/>
      <c r="DC24" s="857"/>
      <c r="DD24" s="856"/>
      <c r="DE24" s="830"/>
      <c r="DF24" s="830"/>
      <c r="DG24" s="829"/>
      <c r="DH24" s="824"/>
      <c r="DI24" s="830"/>
      <c r="DJ24" s="830"/>
      <c r="DK24" s="830"/>
      <c r="DL24" s="831"/>
      <c r="DM24" s="830"/>
      <c r="DN24" s="830"/>
      <c r="DO24" s="830"/>
      <c r="DP24" s="831"/>
      <c r="DQ24" s="830"/>
      <c r="DR24" s="830"/>
      <c r="DS24" s="830"/>
      <c r="DT24" s="831"/>
      <c r="DU24" s="830"/>
      <c r="DV24" s="830"/>
      <c r="DW24" s="830"/>
      <c r="DX24" s="830"/>
      <c r="DY24" s="831"/>
      <c r="DZ24" s="830"/>
      <c r="EA24" s="830"/>
      <c r="EB24" s="830"/>
      <c r="EC24" s="831"/>
      <c r="ED24" s="830"/>
      <c r="EE24" s="830"/>
      <c r="EF24" s="830"/>
      <c r="EG24" s="831"/>
      <c r="EH24" s="824"/>
      <c r="EI24" s="824"/>
      <c r="EJ24" s="1286" t="s">
        <v>98</v>
      </c>
      <c r="EK24" s="1286"/>
      <c r="EL24" s="1286"/>
      <c r="EM24" s="1286"/>
      <c r="EN24" s="1286"/>
      <c r="EO24" s="1286"/>
      <c r="EP24" s="1286"/>
      <c r="EQ24" s="1286"/>
      <c r="ER24" s="1286"/>
      <c r="ES24" s="1286"/>
      <c r="ET24" s="1286"/>
      <c r="EU24" s="1286"/>
      <c r="EV24" s="1286"/>
      <c r="EW24" s="1286"/>
      <c r="EX24" s="1286"/>
      <c r="EY24" s="1286"/>
      <c r="EZ24" s="1286"/>
      <c r="FA24" s="1286"/>
      <c r="FB24" s="1286"/>
      <c r="FC24" s="1286"/>
      <c r="FD24" s="1286"/>
      <c r="FE24" s="824"/>
      <c r="FF24" s="824"/>
      <c r="FG24" s="825"/>
      <c r="FH24" s="826"/>
      <c r="FI24" s="827"/>
      <c r="FJ24" s="827"/>
      <c r="FK24" s="827"/>
      <c r="FL24" s="828"/>
      <c r="FM24" s="1237" t="s">
        <v>80</v>
      </c>
      <c r="FN24" s="1237"/>
      <c r="FO24" s="1237"/>
      <c r="FP24" s="1237"/>
      <c r="FQ24" s="1237"/>
      <c r="FR24" s="1237"/>
      <c r="FS24" s="1237"/>
      <c r="FT24" s="1237"/>
    </row>
    <row r="25" spans="2:176" ht="19.899999999999999" customHeight="1" thickTop="1" x14ac:dyDescent="0.25">
      <c r="B25" s="1278">
        <v>6</v>
      </c>
      <c r="C25" s="840">
        <f t="shared" si="0"/>
        <v>21</v>
      </c>
      <c r="D25" s="797"/>
      <c r="E25" s="798"/>
      <c r="F25" s="798"/>
      <c r="G25" s="862"/>
      <c r="H25" s="863"/>
      <c r="I25" s="862"/>
      <c r="J25" s="862"/>
      <c r="K25" s="862"/>
      <c r="L25" s="862"/>
      <c r="M25" s="863"/>
      <c r="N25" s="862"/>
      <c r="O25" s="862"/>
      <c r="P25" s="862"/>
      <c r="Q25" s="863"/>
      <c r="R25" s="862"/>
      <c r="S25" s="862"/>
      <c r="T25" s="862"/>
      <c r="U25" s="863"/>
      <c r="V25" s="862"/>
      <c r="W25" s="804"/>
      <c r="X25" s="804"/>
      <c r="Y25" s="861"/>
      <c r="Z25" s="804"/>
      <c r="AA25" s="801"/>
      <c r="AB25" s="858"/>
      <c r="AC25" s="846"/>
      <c r="AD25" s="845"/>
      <c r="AE25" s="858"/>
      <c r="AF25" s="858"/>
      <c r="AG25" s="846"/>
      <c r="AH25" s="845"/>
      <c r="AI25" s="1281" t="s">
        <v>92</v>
      </c>
      <c r="AJ25" s="1257"/>
      <c r="AK25" s="1257"/>
      <c r="AL25" s="1257"/>
      <c r="AM25" s="1257"/>
      <c r="AN25" s="1257"/>
      <c r="AO25" s="1257"/>
      <c r="AP25" s="1257"/>
      <c r="AQ25" s="798"/>
      <c r="AR25" s="798"/>
      <c r="AS25" s="1282" t="s">
        <v>96</v>
      </c>
      <c r="AT25" s="1282"/>
      <c r="AU25" s="1282"/>
      <c r="AV25" s="1282"/>
      <c r="AW25" s="1282"/>
      <c r="AX25" s="1282"/>
      <c r="AY25" s="1282"/>
      <c r="AZ25" s="1282"/>
      <c r="BA25" s="1282"/>
      <c r="BB25" s="1282"/>
      <c r="BC25" s="1282"/>
      <c r="BD25" s="1282"/>
      <c r="BE25" s="1282"/>
      <c r="BF25" s="1282"/>
      <c r="BG25" s="1282"/>
      <c r="BH25" s="1282"/>
      <c r="BI25" s="1282"/>
      <c r="BJ25" s="1282"/>
      <c r="BK25" s="1282"/>
      <c r="BL25" s="1282"/>
      <c r="BM25" s="1282"/>
      <c r="BN25" s="804"/>
      <c r="BO25" s="804"/>
      <c r="BP25" s="861"/>
      <c r="BQ25" s="804"/>
      <c r="BR25" s="804"/>
      <c r="BS25" s="804"/>
      <c r="BT25" s="1270" t="s">
        <v>82</v>
      </c>
      <c r="BU25" s="1271"/>
      <c r="BV25" s="1271"/>
      <c r="BW25" s="1271"/>
      <c r="BX25" s="1271"/>
      <c r="BY25" s="1271"/>
      <c r="BZ25" s="1271"/>
      <c r="CA25" s="1271"/>
      <c r="CB25" s="1271"/>
      <c r="CC25" s="1271"/>
      <c r="CD25" s="1271"/>
      <c r="CE25" s="1271"/>
      <c r="CF25" s="1271"/>
      <c r="CG25" s="1271"/>
      <c r="CH25" s="1271"/>
      <c r="CI25" s="1271"/>
      <c r="CJ25" s="804"/>
      <c r="CK25" s="1248" t="s">
        <v>115</v>
      </c>
      <c r="CL25" s="1248"/>
      <c r="CM25" s="1248"/>
      <c r="CN25" s="1248"/>
      <c r="CO25" s="1248"/>
      <c r="CP25" s="1248"/>
      <c r="CQ25" s="1248"/>
      <c r="CR25" s="1248"/>
      <c r="CS25" s="1248"/>
      <c r="CT25" s="1248"/>
      <c r="CU25" s="1248"/>
      <c r="CV25" s="1248"/>
      <c r="CW25" s="1248"/>
      <c r="CX25" s="1248"/>
      <c r="CY25" s="1248"/>
      <c r="CZ25" s="1248"/>
      <c r="DA25" s="798"/>
      <c r="DB25" s="798"/>
      <c r="DC25" s="798"/>
      <c r="DD25" s="797"/>
      <c r="DE25" s="798"/>
      <c r="DF25" s="798"/>
      <c r="DG25" s="862"/>
      <c r="DH25" s="863"/>
      <c r="DI25" s="862"/>
      <c r="DJ25" s="862"/>
      <c r="DK25" s="862"/>
      <c r="DL25" s="862"/>
      <c r="DM25" s="863"/>
      <c r="DN25" s="862"/>
      <c r="DO25" s="862"/>
      <c r="DP25" s="862"/>
      <c r="DQ25" s="863"/>
      <c r="DR25" s="862"/>
      <c r="DS25" s="862"/>
      <c r="DT25" s="862"/>
      <c r="DU25" s="863"/>
      <c r="DV25" s="862"/>
      <c r="DW25" s="804"/>
      <c r="DX25" s="804"/>
      <c r="DY25" s="861"/>
      <c r="DZ25" s="804"/>
      <c r="EA25" s="801"/>
      <c r="EB25" s="858"/>
      <c r="EC25" s="846"/>
      <c r="ED25" s="845"/>
      <c r="EE25" s="858"/>
      <c r="EF25" s="858"/>
      <c r="EG25" s="846"/>
      <c r="EH25" s="845"/>
      <c r="EI25" s="1281" t="s">
        <v>92</v>
      </c>
      <c r="EJ25" s="1257"/>
      <c r="EK25" s="1257"/>
      <c r="EL25" s="1257"/>
      <c r="EM25" s="1257"/>
      <c r="EN25" s="1257"/>
      <c r="EO25" s="1257"/>
      <c r="EP25" s="1257"/>
      <c r="EQ25" s="798"/>
      <c r="ER25" s="798"/>
      <c r="ES25" s="1282" t="s">
        <v>96</v>
      </c>
      <c r="ET25" s="1282"/>
      <c r="EU25" s="1282"/>
      <c r="EV25" s="1282"/>
      <c r="EW25" s="1282"/>
      <c r="EX25" s="1282"/>
      <c r="EY25" s="1282"/>
      <c r="EZ25" s="1282"/>
      <c r="FA25" s="1282"/>
      <c r="FB25" s="1282"/>
      <c r="FC25" s="1282"/>
      <c r="FD25" s="1282"/>
      <c r="FE25" s="1282"/>
      <c r="FF25" s="1282"/>
      <c r="FG25" s="1282"/>
      <c r="FH25" s="1282"/>
      <c r="FI25" s="1282"/>
      <c r="FJ25" s="1282"/>
      <c r="FK25" s="1282"/>
      <c r="FL25" s="1282"/>
      <c r="FM25" s="1282"/>
      <c r="FN25" s="804"/>
      <c r="FO25" s="804"/>
      <c r="FP25" s="861"/>
      <c r="FQ25" s="804"/>
      <c r="FR25" s="804"/>
      <c r="FS25" s="804"/>
      <c r="FT25" s="805" t="s">
        <v>82</v>
      </c>
    </row>
    <row r="26" spans="2:176" ht="19.899999999999999" customHeight="1" x14ac:dyDescent="0.25">
      <c r="B26" s="1279"/>
      <c r="C26" s="847">
        <f t="shared" si="0"/>
        <v>22</v>
      </c>
      <c r="D26" s="809"/>
      <c r="E26" s="813"/>
      <c r="F26" s="813"/>
      <c r="G26" s="814"/>
      <c r="H26" s="813"/>
      <c r="L26" s="817"/>
      <c r="P26" s="817"/>
      <c r="T26" s="817"/>
      <c r="Y26" s="817"/>
      <c r="AA26" s="810"/>
      <c r="AB26" s="1272" t="s">
        <v>92</v>
      </c>
      <c r="AC26" s="1273"/>
      <c r="AD26" s="1273"/>
      <c r="AE26" s="1273"/>
      <c r="AF26" s="1273"/>
      <c r="AG26" s="1218"/>
      <c r="AH26" s="1218"/>
      <c r="AI26" s="1218"/>
      <c r="AJ26" s="1218"/>
      <c r="AK26" s="1218"/>
      <c r="AL26" s="1218"/>
      <c r="AM26" s="812"/>
      <c r="AN26" s="812"/>
      <c r="AO26" s="813"/>
      <c r="AP26" s="814"/>
      <c r="AQ26" s="813"/>
      <c r="AR26" s="813"/>
      <c r="AS26" s="1283"/>
      <c r="AT26" s="1283"/>
      <c r="AU26" s="1283"/>
      <c r="AV26" s="1283"/>
      <c r="AW26" s="1283"/>
      <c r="AX26" s="1283"/>
      <c r="AY26" s="1283"/>
      <c r="AZ26" s="1283"/>
      <c r="BA26" s="1283"/>
      <c r="BB26" s="1283"/>
      <c r="BC26" s="1283"/>
      <c r="BD26" s="1283"/>
      <c r="BE26" s="1283"/>
      <c r="BF26" s="1283"/>
      <c r="BG26" s="1283"/>
      <c r="BH26" s="1283"/>
      <c r="BI26" s="1283"/>
      <c r="BJ26" s="1283"/>
      <c r="BK26" s="1283"/>
      <c r="BL26" s="1283"/>
      <c r="BM26" s="1283"/>
      <c r="BP26" s="817"/>
      <c r="BT26" s="817"/>
      <c r="BV26" s="1272" t="s">
        <v>123</v>
      </c>
      <c r="BW26" s="1273"/>
      <c r="BX26" s="1273"/>
      <c r="BY26" s="1273"/>
      <c r="BZ26" s="1273"/>
      <c r="CA26" s="1273"/>
      <c r="CB26" s="1218"/>
      <c r="CC26" s="1218"/>
      <c r="CD26" s="1218"/>
      <c r="CE26" s="1218"/>
      <c r="CF26" s="1218"/>
      <c r="CG26" s="1218"/>
      <c r="CH26" s="1218"/>
      <c r="CI26" s="859"/>
      <c r="CJ26" s="859"/>
      <c r="CK26" s="1249"/>
      <c r="CL26" s="1249"/>
      <c r="CM26" s="1249"/>
      <c r="CN26" s="1249"/>
      <c r="CO26" s="1249"/>
      <c r="CP26" s="1249"/>
      <c r="CQ26" s="1249"/>
      <c r="CR26" s="1249"/>
      <c r="CS26" s="1249"/>
      <c r="CT26" s="1249"/>
      <c r="CU26" s="1249"/>
      <c r="CV26" s="1249"/>
      <c r="CW26" s="1249"/>
      <c r="CX26" s="1249"/>
      <c r="CY26" s="1249"/>
      <c r="CZ26" s="1249"/>
      <c r="DA26" s="813"/>
      <c r="DB26" s="813"/>
      <c r="DC26" s="813"/>
      <c r="DD26" s="809"/>
      <c r="DE26" s="813"/>
      <c r="DF26" s="813"/>
      <c r="DG26" s="814"/>
      <c r="DH26" s="813"/>
      <c r="DL26" s="817"/>
      <c r="DP26" s="817"/>
      <c r="DT26" s="817"/>
      <c r="DY26" s="817"/>
      <c r="EA26" s="810"/>
      <c r="EB26" s="1272" t="s">
        <v>92</v>
      </c>
      <c r="EC26" s="1273"/>
      <c r="ED26" s="1273"/>
      <c r="EE26" s="1273"/>
      <c r="EF26" s="1273"/>
      <c r="EG26" s="1218"/>
      <c r="EH26" s="1218"/>
      <c r="EI26" s="1218"/>
      <c r="EJ26" s="1218"/>
      <c r="EK26" s="1218"/>
      <c r="EL26" s="1218"/>
      <c r="EM26" s="812"/>
      <c r="EN26" s="812"/>
      <c r="EO26" s="813"/>
      <c r="EP26" s="814"/>
      <c r="EQ26" s="813"/>
      <c r="ER26" s="813"/>
      <c r="ES26" s="1283"/>
      <c r="ET26" s="1283"/>
      <c r="EU26" s="1283"/>
      <c r="EV26" s="1283"/>
      <c r="EW26" s="1283"/>
      <c r="EX26" s="1283"/>
      <c r="EY26" s="1283"/>
      <c r="EZ26" s="1283"/>
      <c r="FA26" s="1283"/>
      <c r="FB26" s="1283"/>
      <c r="FC26" s="1283"/>
      <c r="FD26" s="1283"/>
      <c r="FE26" s="1283"/>
      <c r="FF26" s="1283"/>
      <c r="FG26" s="1283"/>
      <c r="FH26" s="1283"/>
      <c r="FI26" s="1283"/>
      <c r="FJ26" s="1283"/>
      <c r="FK26" s="1283"/>
      <c r="FL26" s="1283"/>
      <c r="FM26" s="1283"/>
      <c r="FP26" s="817"/>
      <c r="FT26" s="817"/>
    </row>
    <row r="27" spans="2:176" ht="19.899999999999999" customHeight="1" x14ac:dyDescent="0.25">
      <c r="B27" s="1279"/>
      <c r="C27" s="847">
        <f t="shared" si="0"/>
        <v>23</v>
      </c>
      <c r="D27" s="809"/>
      <c r="E27" s="813"/>
      <c r="F27" s="813"/>
      <c r="G27" s="814"/>
      <c r="H27" s="813"/>
      <c r="L27" s="817"/>
      <c r="P27" s="817"/>
      <c r="T27" s="817"/>
      <c r="Y27" s="817"/>
      <c r="AA27" s="784"/>
      <c r="AB27" s="784"/>
      <c r="AC27" s="810"/>
      <c r="AD27" s="784"/>
      <c r="AE27" s="784"/>
      <c r="AF27" s="784"/>
      <c r="AG27" s="1272" t="s">
        <v>92</v>
      </c>
      <c r="AH27" s="1273"/>
      <c r="AI27" s="1273"/>
      <c r="AJ27" s="1273"/>
      <c r="AK27" s="1273"/>
      <c r="AL27" s="1273"/>
      <c r="AM27" s="1273"/>
      <c r="AN27" s="1273"/>
      <c r="AO27" s="813"/>
      <c r="AP27" s="814"/>
      <c r="AQ27" s="813"/>
      <c r="AR27" s="813"/>
      <c r="AS27" s="1284"/>
      <c r="AT27" s="1284"/>
      <c r="AU27" s="1284"/>
      <c r="AV27" s="1284"/>
      <c r="AW27" s="1284"/>
      <c r="AX27" s="1284"/>
      <c r="AY27" s="1284"/>
      <c r="AZ27" s="1284"/>
      <c r="BA27" s="1284"/>
      <c r="BB27" s="1284"/>
      <c r="BC27" s="1284"/>
      <c r="BD27" s="1284"/>
      <c r="BE27" s="1283"/>
      <c r="BF27" s="1283"/>
      <c r="BG27" s="1283"/>
      <c r="BH27" s="1283"/>
      <c r="BI27" s="1283"/>
      <c r="BJ27" s="1283"/>
      <c r="BK27" s="1283"/>
      <c r="BL27" s="1283"/>
      <c r="BM27" s="1283"/>
      <c r="BP27" s="817"/>
      <c r="BT27" s="817"/>
      <c r="BY27" s="817"/>
      <c r="CB27" s="1272" t="s">
        <v>123</v>
      </c>
      <c r="CC27" s="1273"/>
      <c r="CD27" s="1273"/>
      <c r="CE27" s="1273"/>
      <c r="CF27" s="1273"/>
      <c r="CG27" s="1273"/>
      <c r="CH27" s="1273"/>
      <c r="CI27" s="1273"/>
      <c r="CJ27" s="1273"/>
      <c r="CK27" s="1273"/>
      <c r="CL27" s="1273"/>
      <c r="CM27" s="1273"/>
      <c r="CN27" s="1273"/>
      <c r="CO27" s="813"/>
      <c r="CP27" s="814"/>
      <c r="CQ27" s="1274" t="s">
        <v>115</v>
      </c>
      <c r="CR27" s="1274"/>
      <c r="CS27" s="1274"/>
      <c r="CT27" s="1274"/>
      <c r="CU27" s="1274"/>
      <c r="CV27" s="1274"/>
      <c r="CW27" s="1274"/>
      <c r="CX27" s="1274"/>
      <c r="CY27" s="1274"/>
      <c r="CZ27" s="1274"/>
      <c r="DA27" s="1249"/>
      <c r="DB27" s="1249"/>
      <c r="DC27" s="1249"/>
      <c r="DD27" s="1249"/>
      <c r="DE27" s="1249"/>
      <c r="DF27" s="1249"/>
      <c r="DG27" s="814"/>
      <c r="DH27" s="813"/>
      <c r="DL27" s="817"/>
      <c r="DP27" s="817"/>
      <c r="DT27" s="817"/>
      <c r="DY27" s="817"/>
      <c r="EA27" s="784"/>
      <c r="EB27" s="784"/>
      <c r="EC27" s="810"/>
      <c r="ED27" s="784"/>
      <c r="EE27" s="784"/>
      <c r="EF27" s="784"/>
      <c r="EG27" s="1272" t="s">
        <v>92</v>
      </c>
      <c r="EH27" s="1273"/>
      <c r="EI27" s="1273"/>
      <c r="EJ27" s="1273"/>
      <c r="EK27" s="1273"/>
      <c r="EL27" s="1273"/>
      <c r="EM27" s="1273"/>
      <c r="EN27" s="1273"/>
      <c r="EO27" s="813"/>
      <c r="EP27" s="814"/>
      <c r="EQ27" s="813"/>
      <c r="ER27" s="813"/>
      <c r="ES27" s="1284"/>
      <c r="ET27" s="1284"/>
      <c r="EU27" s="1284"/>
      <c r="EV27" s="1284"/>
      <c r="EW27" s="1284"/>
      <c r="EX27" s="1284"/>
      <c r="EY27" s="1284"/>
      <c r="EZ27" s="1284"/>
      <c r="FA27" s="1284"/>
      <c r="FB27" s="1284"/>
      <c r="FC27" s="1284"/>
      <c r="FD27" s="1284"/>
      <c r="FE27" s="1283"/>
      <c r="FF27" s="1283"/>
      <c r="FG27" s="1283"/>
      <c r="FH27" s="1283"/>
      <c r="FI27" s="1283"/>
      <c r="FJ27" s="1283"/>
      <c r="FK27" s="1283"/>
      <c r="FL27" s="1283"/>
      <c r="FM27" s="1283"/>
      <c r="FP27" s="817"/>
      <c r="FT27" s="817"/>
    </row>
    <row r="28" spans="2:176" ht="19.899999999999999" customHeight="1" thickBot="1" x14ac:dyDescent="0.3">
      <c r="B28" s="1280"/>
      <c r="C28" s="853">
        <f t="shared" si="0"/>
        <v>24</v>
      </c>
      <c r="D28" s="823"/>
      <c r="E28" s="824"/>
      <c r="F28" s="824"/>
      <c r="G28" s="829"/>
      <c r="H28" s="824"/>
      <c r="I28" s="830"/>
      <c r="J28" s="830"/>
      <c r="K28" s="830"/>
      <c r="L28" s="831"/>
      <c r="M28" s="830"/>
      <c r="N28" s="830"/>
      <c r="O28" s="830"/>
      <c r="P28" s="831"/>
      <c r="Q28" s="830"/>
      <c r="R28" s="830"/>
      <c r="S28" s="830"/>
      <c r="T28" s="831"/>
      <c r="U28" s="830"/>
      <c r="V28" s="830"/>
      <c r="W28" s="830"/>
      <c r="X28" s="830"/>
      <c r="Y28" s="831"/>
      <c r="Z28" s="830"/>
      <c r="AA28" s="830"/>
      <c r="AB28" s="830"/>
      <c r="AC28" s="831"/>
      <c r="AD28" s="830"/>
      <c r="AE28" s="830"/>
      <c r="AF28" s="830"/>
      <c r="AG28" s="831"/>
      <c r="AH28" s="824"/>
      <c r="AI28" s="824"/>
      <c r="AJ28" s="1285" t="s">
        <v>98</v>
      </c>
      <c r="AK28" s="1285"/>
      <c r="AL28" s="1285"/>
      <c r="AM28" s="1285"/>
      <c r="AN28" s="1285"/>
      <c r="AO28" s="1286"/>
      <c r="AP28" s="1286"/>
      <c r="AQ28" s="1286"/>
      <c r="AR28" s="1286"/>
      <c r="AS28" s="1286"/>
      <c r="AT28" s="1286"/>
      <c r="AU28" s="1286"/>
      <c r="AV28" s="1286"/>
      <c r="AW28" s="1286"/>
      <c r="AX28" s="1286"/>
      <c r="AY28" s="1286"/>
      <c r="AZ28" s="1286"/>
      <c r="BA28" s="1286"/>
      <c r="BB28" s="1286"/>
      <c r="BC28" s="1286"/>
      <c r="BD28" s="1286"/>
      <c r="BE28" s="824"/>
      <c r="BF28" s="824"/>
      <c r="BG28" s="829"/>
      <c r="BH28" s="824"/>
      <c r="BI28" s="830"/>
      <c r="BJ28" s="830"/>
      <c r="BK28" s="830"/>
      <c r="BL28" s="831"/>
      <c r="BM28" s="830"/>
      <c r="BN28" s="830"/>
      <c r="BO28" s="830"/>
      <c r="BP28" s="831"/>
      <c r="BQ28" s="830"/>
      <c r="BR28" s="830"/>
      <c r="BS28" s="830"/>
      <c r="BT28" s="831"/>
      <c r="BU28" s="830"/>
      <c r="BV28" s="830"/>
      <c r="BW28" s="830"/>
      <c r="BX28" s="827"/>
      <c r="BY28" s="828"/>
      <c r="BZ28" s="860"/>
      <c r="CA28" s="1276" t="s">
        <v>92</v>
      </c>
      <c r="CB28" s="1277"/>
      <c r="CC28" s="1277"/>
      <c r="CD28" s="1277"/>
      <c r="CE28" s="1277"/>
      <c r="CF28" s="1277"/>
      <c r="CG28" s="1277"/>
      <c r="CH28" s="1277"/>
      <c r="CI28" s="1277"/>
      <c r="CJ28" s="824"/>
      <c r="CK28" s="824"/>
      <c r="CL28" s="829"/>
      <c r="CM28" s="824"/>
      <c r="CN28" s="824"/>
      <c r="CO28" s="824"/>
      <c r="CP28" s="829"/>
      <c r="CQ28" s="1275"/>
      <c r="CR28" s="1275"/>
      <c r="CS28" s="1275"/>
      <c r="CT28" s="1275"/>
      <c r="CU28" s="1275"/>
      <c r="CV28" s="1275"/>
      <c r="CW28" s="1275"/>
      <c r="CX28" s="1275"/>
      <c r="CY28" s="1275"/>
      <c r="CZ28" s="1275"/>
      <c r="DA28" s="1275"/>
      <c r="DB28" s="1275"/>
      <c r="DC28" s="1275"/>
      <c r="DD28" s="1275"/>
      <c r="DE28" s="1275"/>
      <c r="DF28" s="1275"/>
      <c r="DG28" s="829"/>
      <c r="DH28" s="824"/>
      <c r="DI28" s="830"/>
      <c r="DJ28" s="830"/>
      <c r="DK28" s="830"/>
      <c r="DL28" s="831"/>
      <c r="DM28" s="830"/>
      <c r="DN28" s="830"/>
      <c r="DO28" s="830"/>
      <c r="DP28" s="831"/>
      <c r="DQ28" s="830"/>
      <c r="DR28" s="830"/>
      <c r="DS28" s="830"/>
      <c r="DT28" s="831"/>
      <c r="DU28" s="830"/>
      <c r="DV28" s="830"/>
      <c r="DW28" s="830"/>
      <c r="DX28" s="830"/>
      <c r="DY28" s="831"/>
      <c r="DZ28" s="830"/>
      <c r="EA28" s="830"/>
      <c r="EB28" s="830"/>
      <c r="EC28" s="831"/>
      <c r="ED28" s="830"/>
      <c r="EE28" s="830"/>
      <c r="EF28" s="830"/>
      <c r="EG28" s="831"/>
      <c r="EH28" s="824"/>
      <c r="EI28" s="824"/>
      <c r="EJ28" s="1285" t="s">
        <v>98</v>
      </c>
      <c r="EK28" s="1285"/>
      <c r="EL28" s="1285"/>
      <c r="EM28" s="1285"/>
      <c r="EN28" s="1285"/>
      <c r="EO28" s="1286"/>
      <c r="EP28" s="1286"/>
      <c r="EQ28" s="1286"/>
      <c r="ER28" s="1286"/>
      <c r="ES28" s="1286"/>
      <c r="ET28" s="1286"/>
      <c r="EU28" s="1286"/>
      <c r="EV28" s="1286"/>
      <c r="EW28" s="1286"/>
      <c r="EX28" s="1286"/>
      <c r="EY28" s="1286"/>
      <c r="EZ28" s="1286"/>
      <c r="FA28" s="1286"/>
      <c r="FB28" s="1286"/>
      <c r="FC28" s="1286"/>
      <c r="FD28" s="1286"/>
      <c r="FE28" s="824"/>
      <c r="FF28" s="824"/>
      <c r="FG28" s="829"/>
      <c r="FH28" s="824"/>
      <c r="FI28" s="830"/>
      <c r="FJ28" s="830"/>
      <c r="FK28" s="830"/>
      <c r="FL28" s="831"/>
      <c r="FM28" s="830"/>
      <c r="FN28" s="830"/>
      <c r="FO28" s="830"/>
      <c r="FP28" s="831"/>
      <c r="FQ28" s="830"/>
      <c r="FR28" s="830"/>
      <c r="FS28" s="830"/>
      <c r="FT28" s="831"/>
    </row>
    <row r="29" spans="2:176" ht="19.899999999999999" customHeight="1" thickTop="1" x14ac:dyDescent="0.25">
      <c r="B29" s="1287">
        <v>7</v>
      </c>
      <c r="C29" s="796">
        <f t="shared" si="0"/>
        <v>25</v>
      </c>
      <c r="D29" s="797"/>
      <c r="E29" s="798"/>
      <c r="F29" s="798"/>
      <c r="G29" s="803"/>
      <c r="H29" s="798"/>
      <c r="I29" s="804"/>
      <c r="J29" s="804"/>
      <c r="K29" s="804"/>
      <c r="L29" s="861"/>
      <c r="M29" s="804"/>
      <c r="N29" s="804"/>
      <c r="O29" s="804"/>
      <c r="P29" s="861"/>
      <c r="Q29" s="804"/>
      <c r="R29" s="804"/>
      <c r="S29" s="804"/>
      <c r="T29" s="861"/>
      <c r="U29" s="804"/>
      <c r="V29" s="804"/>
      <c r="W29" s="804"/>
      <c r="X29" s="804"/>
      <c r="Y29" s="1282" t="s">
        <v>87</v>
      </c>
      <c r="Z29" s="1257"/>
      <c r="AA29" s="1257"/>
      <c r="AB29" s="1257"/>
      <c r="AC29" s="1257"/>
      <c r="AD29" s="1257"/>
      <c r="AE29" s="1257"/>
      <c r="AF29" s="1257"/>
      <c r="AG29" s="1257"/>
      <c r="AH29" s="1257"/>
      <c r="AI29" s="1257"/>
      <c r="AJ29" s="1257"/>
      <c r="AK29" s="1257"/>
      <c r="AL29" s="1257"/>
      <c r="AM29" s="1257"/>
      <c r="AN29" s="1257"/>
      <c r="AO29" s="1257"/>
      <c r="AP29" s="1257"/>
      <c r="AQ29" s="1257"/>
      <c r="AR29" s="1257"/>
      <c r="AS29" s="1257"/>
      <c r="AT29" s="1257"/>
      <c r="AU29" s="1257"/>
      <c r="AV29" s="798"/>
      <c r="AW29" s="1302" t="s">
        <v>462</v>
      </c>
      <c r="AX29" s="1303"/>
      <c r="AY29" s="1303"/>
      <c r="AZ29" s="1303"/>
      <c r="BA29" s="1303"/>
      <c r="BB29" s="1303"/>
      <c r="BC29" s="1303"/>
      <c r="BD29" s="1303"/>
      <c r="BE29" s="1303"/>
      <c r="BF29" s="1303"/>
      <c r="BG29" s="803"/>
      <c r="BH29" s="1242" t="s">
        <v>145</v>
      </c>
      <c r="BI29" s="1243"/>
      <c r="BJ29" s="1243"/>
      <c r="BK29" s="1243"/>
      <c r="BL29" s="1243"/>
      <c r="BM29" s="1243"/>
      <c r="BN29" s="1243"/>
      <c r="BO29" s="1243"/>
      <c r="BP29" s="1243"/>
      <c r="BQ29" s="1243"/>
      <c r="BR29" s="1243"/>
      <c r="BS29" s="1243"/>
      <c r="BT29" s="1243"/>
      <c r="BU29" s="1243"/>
      <c r="BV29" s="1243"/>
      <c r="BW29" s="1243"/>
      <c r="BX29" s="1243"/>
      <c r="BY29" s="1243"/>
      <c r="BZ29" s="1243"/>
      <c r="CA29" s="1244"/>
      <c r="CB29" s="801"/>
      <c r="CC29" s="802"/>
      <c r="CD29" s="801"/>
      <c r="CE29" s="801"/>
      <c r="CF29" s="801"/>
      <c r="CG29" s="802"/>
      <c r="CH29" s="800"/>
      <c r="CI29" s="1248" t="s">
        <v>77</v>
      </c>
      <c r="CJ29" s="1248"/>
      <c r="CK29" s="1248"/>
      <c r="CL29" s="1248"/>
      <c r="CM29" s="1248"/>
      <c r="CN29" s="1248"/>
      <c r="CO29" s="1248"/>
      <c r="CP29" s="1248"/>
      <c r="CQ29" s="1248"/>
      <c r="CR29" s="1248"/>
      <c r="CS29" s="1248"/>
      <c r="CT29" s="1248"/>
      <c r="CU29" s="1248"/>
      <c r="CV29" s="1248"/>
      <c r="CW29" s="1248"/>
      <c r="CX29" s="804"/>
      <c r="CY29" s="804"/>
      <c r="CZ29" s="842"/>
      <c r="DA29" s="804"/>
      <c r="DB29" s="804"/>
      <c r="DC29" s="843"/>
      <c r="DD29" s="842"/>
      <c r="DE29" s="804"/>
      <c r="DF29" s="804"/>
      <c r="DG29" s="803"/>
      <c r="DH29" s="798"/>
      <c r="DI29" s="804"/>
      <c r="DJ29" s="804"/>
      <c r="DK29" s="804"/>
      <c r="DL29" s="861"/>
      <c r="DM29" s="804"/>
      <c r="DN29" s="804"/>
      <c r="DO29" s="804"/>
      <c r="DP29" s="861"/>
      <c r="DQ29" s="804"/>
      <c r="DR29" s="804"/>
      <c r="DS29" s="804"/>
      <c r="DT29" s="861"/>
      <c r="DU29" s="804"/>
      <c r="DV29" s="804"/>
      <c r="DW29" s="804"/>
      <c r="DX29" s="804"/>
      <c r="DY29" s="1282" t="s">
        <v>87</v>
      </c>
      <c r="DZ29" s="1257"/>
      <c r="EA29" s="1257"/>
      <c r="EB29" s="1257"/>
      <c r="EC29" s="1257"/>
      <c r="ED29" s="1257"/>
      <c r="EE29" s="1257"/>
      <c r="EF29" s="1257"/>
      <c r="EG29" s="1257"/>
      <c r="EH29" s="1257"/>
      <c r="EI29" s="1257"/>
      <c r="EJ29" s="1257"/>
      <c r="EK29" s="1257"/>
      <c r="EL29" s="1257"/>
      <c r="EM29" s="1257"/>
      <c r="EN29" s="1257"/>
      <c r="EO29" s="1257"/>
      <c r="EP29" s="1257"/>
      <c r="EQ29" s="1257"/>
      <c r="ER29" s="1257"/>
      <c r="ES29" s="1257"/>
      <c r="ET29" s="1257"/>
      <c r="EU29" s="1257"/>
      <c r="EV29" s="798"/>
      <c r="EW29" s="798"/>
      <c r="EX29" s="798"/>
      <c r="EY29" s="803"/>
      <c r="EZ29" s="798"/>
      <c r="FA29" s="798"/>
      <c r="FB29" s="798"/>
      <c r="FC29" s="798"/>
      <c r="FD29" s="797"/>
      <c r="FE29" s="798"/>
      <c r="FF29" s="798"/>
      <c r="FG29" s="803"/>
      <c r="FH29" s="1242" t="s">
        <v>145</v>
      </c>
      <c r="FI29" s="1243"/>
      <c r="FJ29" s="1243"/>
      <c r="FK29" s="1243"/>
      <c r="FL29" s="1243"/>
      <c r="FM29" s="1243"/>
      <c r="FN29" s="1243"/>
      <c r="FO29" s="1243"/>
      <c r="FP29" s="1243"/>
      <c r="FQ29" s="1243"/>
      <c r="FR29" s="1243"/>
      <c r="FS29" s="1243"/>
      <c r="FT29" s="1243"/>
    </row>
    <row r="30" spans="2:176" ht="19.899999999999999" customHeight="1" x14ac:dyDescent="0.25">
      <c r="B30" s="1288"/>
      <c r="C30" s="808">
        <f t="shared" si="0"/>
        <v>26</v>
      </c>
      <c r="D30" s="809"/>
      <c r="E30" s="813"/>
      <c r="F30" s="813"/>
      <c r="G30" s="814"/>
      <c r="H30" s="813"/>
      <c r="L30" s="817"/>
      <c r="P30" s="817"/>
      <c r="T30" s="817"/>
      <c r="Y30" s="1258"/>
      <c r="Z30" s="1258"/>
      <c r="AA30" s="1258"/>
      <c r="AB30" s="1258"/>
      <c r="AC30" s="1258"/>
      <c r="AD30" s="1258"/>
      <c r="AE30" s="1258"/>
      <c r="AF30" s="1258"/>
      <c r="AG30" s="1258"/>
      <c r="AH30" s="1258"/>
      <c r="AI30" s="1258"/>
      <c r="AJ30" s="1258"/>
      <c r="AK30" s="1258"/>
      <c r="AL30" s="1258"/>
      <c r="AM30" s="1258"/>
      <c r="AN30" s="1258"/>
      <c r="AO30" s="1258"/>
      <c r="AP30" s="1258"/>
      <c r="AQ30" s="1258"/>
      <c r="AR30" s="1258"/>
      <c r="AS30" s="1258"/>
      <c r="AT30" s="1258"/>
      <c r="AU30" s="1258"/>
      <c r="AV30" s="813"/>
      <c r="AW30" s="1304"/>
      <c r="AX30" s="1305"/>
      <c r="AY30" s="1305"/>
      <c r="AZ30" s="1305"/>
      <c r="BA30" s="1305"/>
      <c r="BB30" s="1305"/>
      <c r="BC30" s="1305"/>
      <c r="BD30" s="1305"/>
      <c r="BE30" s="1305"/>
      <c r="BF30" s="1305"/>
      <c r="BG30" s="814"/>
      <c r="BH30" s="1245"/>
      <c r="BI30" s="1246"/>
      <c r="BJ30" s="1246"/>
      <c r="BK30" s="1246"/>
      <c r="BL30" s="1246"/>
      <c r="BM30" s="1246"/>
      <c r="BN30" s="1246"/>
      <c r="BO30" s="1246"/>
      <c r="BP30" s="1246"/>
      <c r="BQ30" s="1246"/>
      <c r="BR30" s="1246"/>
      <c r="BS30" s="1246"/>
      <c r="BT30" s="1246"/>
      <c r="BU30" s="1246"/>
      <c r="BV30" s="1246"/>
      <c r="BW30" s="1246"/>
      <c r="BX30" s="1246"/>
      <c r="BY30" s="1246"/>
      <c r="BZ30" s="1246"/>
      <c r="CA30" s="1247"/>
      <c r="CB30" s="784"/>
      <c r="CC30" s="810"/>
      <c r="CD30" s="784"/>
      <c r="CE30" s="784"/>
      <c r="CF30" s="784"/>
      <c r="CG30" s="810"/>
      <c r="CH30" s="812"/>
      <c r="CI30" s="1249"/>
      <c r="CJ30" s="1249"/>
      <c r="CK30" s="1249"/>
      <c r="CL30" s="1249"/>
      <c r="CM30" s="1249"/>
      <c r="CN30" s="1249"/>
      <c r="CO30" s="1249"/>
      <c r="CP30" s="1249"/>
      <c r="CQ30" s="1249"/>
      <c r="CR30" s="1249"/>
      <c r="CS30" s="1249"/>
      <c r="CT30" s="1249"/>
      <c r="CU30" s="1249"/>
      <c r="CV30" s="1249"/>
      <c r="CW30" s="1249"/>
      <c r="CZ30" s="849"/>
      <c r="DC30" s="850"/>
      <c r="DD30" s="849"/>
      <c r="DG30" s="814"/>
      <c r="DH30" s="813"/>
      <c r="DL30" s="817"/>
      <c r="DP30" s="817"/>
      <c r="DT30" s="817"/>
      <c r="DY30" s="1258"/>
      <c r="DZ30" s="1258"/>
      <c r="EA30" s="1258"/>
      <c r="EB30" s="1258"/>
      <c r="EC30" s="1258"/>
      <c r="ED30" s="1258"/>
      <c r="EE30" s="1258"/>
      <c r="EF30" s="1258"/>
      <c r="EG30" s="1258"/>
      <c r="EH30" s="1258"/>
      <c r="EI30" s="1258"/>
      <c r="EJ30" s="1258"/>
      <c r="EK30" s="1258"/>
      <c r="EL30" s="1258"/>
      <c r="EM30" s="1258"/>
      <c r="EN30" s="1258"/>
      <c r="EO30" s="1258"/>
      <c r="EP30" s="1258"/>
      <c r="EQ30" s="1258"/>
      <c r="ER30" s="1258"/>
      <c r="ES30" s="1258"/>
      <c r="ET30" s="1258"/>
      <c r="EU30" s="1258"/>
      <c r="EV30" s="813"/>
      <c r="EW30" s="813"/>
      <c r="EX30" s="813"/>
      <c r="EY30" s="814"/>
      <c r="EZ30" s="813"/>
      <c r="FA30" s="813"/>
      <c r="FB30" s="813"/>
      <c r="FC30" s="813"/>
      <c r="FD30" s="809"/>
      <c r="FE30" s="813"/>
      <c r="FF30" s="813"/>
      <c r="FG30" s="814"/>
      <c r="FH30" s="1245"/>
      <c r="FI30" s="1246"/>
      <c r="FJ30" s="1246"/>
      <c r="FK30" s="1246"/>
      <c r="FL30" s="1246"/>
      <c r="FM30" s="1246"/>
      <c r="FN30" s="1246"/>
      <c r="FO30" s="1246"/>
      <c r="FP30" s="1246"/>
      <c r="FQ30" s="1246"/>
      <c r="FR30" s="1246"/>
      <c r="FS30" s="1246"/>
      <c r="FT30" s="1246"/>
    </row>
    <row r="31" spans="2:176" ht="19.899999999999999" customHeight="1" x14ac:dyDescent="0.25">
      <c r="B31" s="1288"/>
      <c r="C31" s="808">
        <f t="shared" si="0"/>
        <v>27</v>
      </c>
      <c r="D31" s="809"/>
      <c r="E31" s="813"/>
      <c r="F31" s="813"/>
      <c r="G31" s="814"/>
      <c r="H31" s="813"/>
      <c r="L31" s="817"/>
      <c r="P31" s="817"/>
      <c r="T31" s="817"/>
      <c r="Y31" s="1258"/>
      <c r="Z31" s="1258"/>
      <c r="AA31" s="1258"/>
      <c r="AB31" s="1258"/>
      <c r="AC31" s="1258"/>
      <c r="AD31" s="1258"/>
      <c r="AE31" s="1258"/>
      <c r="AF31" s="1258"/>
      <c r="AG31" s="1258"/>
      <c r="AH31" s="1258"/>
      <c r="AI31" s="1258"/>
      <c r="AJ31" s="1258"/>
      <c r="AK31" s="1258"/>
      <c r="AL31" s="1258"/>
      <c r="AM31" s="1258"/>
      <c r="AN31" s="1258"/>
      <c r="AO31" s="1258"/>
      <c r="AP31" s="1258"/>
      <c r="AQ31" s="1258"/>
      <c r="AR31" s="1258"/>
      <c r="AS31" s="1258"/>
      <c r="AT31" s="1258"/>
      <c r="AU31" s="1258"/>
      <c r="AV31" s="813"/>
      <c r="AW31" s="1304"/>
      <c r="AX31" s="1305"/>
      <c r="AY31" s="1305"/>
      <c r="AZ31" s="1305"/>
      <c r="BA31" s="1305"/>
      <c r="BB31" s="1305"/>
      <c r="BC31" s="1305"/>
      <c r="BD31" s="1305"/>
      <c r="BE31" s="1305"/>
      <c r="BF31" s="1305"/>
      <c r="BG31" s="814"/>
      <c r="BH31" s="812"/>
      <c r="BI31" s="784"/>
      <c r="BJ31" s="784"/>
      <c r="BK31" s="784"/>
      <c r="BL31" s="810"/>
      <c r="BM31" s="784"/>
      <c r="BN31" s="784"/>
      <c r="BO31" s="784"/>
      <c r="BP31" s="810"/>
      <c r="BQ31" s="784"/>
      <c r="BR31" s="784"/>
      <c r="BS31" s="852"/>
      <c r="BT31" s="1250" t="s">
        <v>145</v>
      </c>
      <c r="BU31" s="1216"/>
      <c r="BV31" s="1216"/>
      <c r="BW31" s="1216"/>
      <c r="BX31" s="1216"/>
      <c r="BY31" s="1216"/>
      <c r="BZ31" s="1216"/>
      <c r="CA31" s="1216"/>
      <c r="CB31" s="1216"/>
      <c r="CC31" s="1216"/>
      <c r="CD31" s="1216"/>
      <c r="CE31" s="1216"/>
      <c r="CF31" s="1216"/>
      <c r="CG31" s="1216"/>
      <c r="CH31" s="1216"/>
      <c r="CI31" s="1216"/>
      <c r="CJ31" s="1216"/>
      <c r="CK31" s="1216"/>
      <c r="CL31" s="1217"/>
      <c r="CM31" s="812"/>
      <c r="CN31" s="812"/>
      <c r="CO31" s="812"/>
      <c r="CP31" s="811"/>
      <c r="CQ31" s="812"/>
      <c r="CR31" s="812"/>
      <c r="CS31" s="812"/>
      <c r="CT31" s="812"/>
      <c r="CU31" s="811"/>
      <c r="CV31" s="812"/>
      <c r="CW31" s="813"/>
      <c r="CZ31" s="849"/>
      <c r="DC31" s="850"/>
      <c r="DD31" s="849"/>
      <c r="DG31" s="814"/>
      <c r="DH31" s="813"/>
      <c r="DL31" s="817"/>
      <c r="DP31" s="817"/>
      <c r="DT31" s="817"/>
      <c r="DY31" s="1258"/>
      <c r="DZ31" s="1258"/>
      <c r="EA31" s="1258"/>
      <c r="EB31" s="1258"/>
      <c r="EC31" s="1258"/>
      <c r="ED31" s="1258"/>
      <c r="EE31" s="1258"/>
      <c r="EF31" s="1258"/>
      <c r="EG31" s="1258"/>
      <c r="EH31" s="1258"/>
      <c r="EI31" s="1258"/>
      <c r="EJ31" s="1258"/>
      <c r="EK31" s="1258"/>
      <c r="EL31" s="1258"/>
      <c r="EM31" s="1258"/>
      <c r="EN31" s="1258"/>
      <c r="EO31" s="1258"/>
      <c r="EP31" s="1258"/>
      <c r="EQ31" s="1258"/>
      <c r="ER31" s="1258"/>
      <c r="ES31" s="1258"/>
      <c r="ET31" s="1258"/>
      <c r="EU31" s="1258"/>
      <c r="EV31" s="813"/>
      <c r="EW31" s="813"/>
      <c r="EX31" s="813"/>
      <c r="EY31" s="814"/>
      <c r="EZ31" s="813"/>
      <c r="FA31" s="813"/>
      <c r="FB31" s="813"/>
      <c r="FC31" s="813"/>
      <c r="FD31" s="809"/>
      <c r="FE31" s="813"/>
      <c r="FF31" s="813"/>
      <c r="FG31" s="814"/>
      <c r="FH31" s="812"/>
      <c r="FI31" s="784"/>
      <c r="FJ31" s="784"/>
      <c r="FK31" s="784"/>
      <c r="FL31" s="810"/>
      <c r="FM31" s="784"/>
      <c r="FN31" s="784"/>
      <c r="FO31" s="784"/>
      <c r="FP31" s="810"/>
      <c r="FQ31" s="784"/>
      <c r="FR31" s="784"/>
      <c r="FS31" s="852"/>
      <c r="FT31" s="1250" t="s">
        <v>145</v>
      </c>
    </row>
    <row r="32" spans="2:176" ht="19.899999999999999" customHeight="1" thickBot="1" x14ac:dyDescent="0.3">
      <c r="B32" s="1289"/>
      <c r="C32" s="822">
        <f t="shared" si="0"/>
        <v>28</v>
      </c>
      <c r="D32" s="823"/>
      <c r="E32" s="824"/>
      <c r="F32" s="824"/>
      <c r="G32" s="829"/>
      <c r="H32" s="824"/>
      <c r="I32" s="830"/>
      <c r="J32" s="830"/>
      <c r="K32" s="830"/>
      <c r="L32" s="831"/>
      <c r="M32" s="830"/>
      <c r="N32" s="830"/>
      <c r="O32" s="830"/>
      <c r="P32" s="831"/>
      <c r="Q32" s="830"/>
      <c r="R32" s="830"/>
      <c r="S32" s="830"/>
      <c r="T32" s="831"/>
      <c r="U32" s="830"/>
      <c r="V32" s="830"/>
      <c r="W32" s="830"/>
      <c r="X32" s="830"/>
      <c r="Y32" s="831"/>
      <c r="Z32" s="830"/>
      <c r="AA32" s="830"/>
      <c r="AB32" s="1298" t="s">
        <v>94</v>
      </c>
      <c r="AC32" s="1299"/>
      <c r="AD32" s="1299"/>
      <c r="AE32" s="1299"/>
      <c r="AF32" s="1299"/>
      <c r="AG32" s="1299"/>
      <c r="AH32" s="1299"/>
      <c r="AI32" s="1299"/>
      <c r="AJ32" s="1299"/>
      <c r="AK32" s="1299"/>
      <c r="AL32" s="1277"/>
      <c r="AM32" s="1277"/>
      <c r="AN32" s="1277"/>
      <c r="AO32" s="854"/>
      <c r="AP32" s="855"/>
      <c r="AQ32" s="824"/>
      <c r="AR32" s="824"/>
      <c r="AS32" s="824"/>
      <c r="AT32" s="824"/>
      <c r="AU32" s="829"/>
      <c r="AV32" s="824"/>
      <c r="AW32" s="1306"/>
      <c r="AX32" s="1307"/>
      <c r="AY32" s="1307"/>
      <c r="AZ32" s="1307"/>
      <c r="BA32" s="1307"/>
      <c r="BB32" s="1307"/>
      <c r="BC32" s="1307"/>
      <c r="BD32" s="1307"/>
      <c r="BE32" s="1307"/>
      <c r="BF32" s="1307"/>
      <c r="BG32" s="864"/>
      <c r="BH32" s="826"/>
      <c r="BI32" s="827"/>
      <c r="BJ32" s="827"/>
      <c r="BK32" s="827"/>
      <c r="BL32" s="828"/>
      <c r="BM32" s="827"/>
      <c r="BN32" s="827"/>
      <c r="BO32" s="827"/>
      <c r="BP32" s="828"/>
      <c r="BQ32" s="827"/>
      <c r="BR32" s="827"/>
      <c r="BS32" s="828"/>
      <c r="BT32" s="1251"/>
      <c r="BU32" s="1252"/>
      <c r="BV32" s="1252"/>
      <c r="BW32" s="1252"/>
      <c r="BX32" s="1252"/>
      <c r="BY32" s="1252"/>
      <c r="BZ32" s="1252"/>
      <c r="CA32" s="1252"/>
      <c r="CB32" s="1252"/>
      <c r="CC32" s="1252"/>
      <c r="CD32" s="1252"/>
      <c r="CE32" s="1252"/>
      <c r="CF32" s="1252"/>
      <c r="CG32" s="1252"/>
      <c r="CH32" s="1252"/>
      <c r="CI32" s="1252"/>
      <c r="CJ32" s="1252"/>
      <c r="CK32" s="1252"/>
      <c r="CL32" s="1253"/>
      <c r="CM32" s="826"/>
      <c r="CN32" s="826"/>
      <c r="CO32" s="826"/>
      <c r="CP32" s="825"/>
      <c r="CQ32" s="826"/>
      <c r="CR32" s="826"/>
      <c r="CS32" s="826"/>
      <c r="CT32" s="826"/>
      <c r="CU32" s="825"/>
      <c r="CV32" s="826"/>
      <c r="CW32" s="824"/>
      <c r="CX32" s="830"/>
      <c r="CY32" s="830"/>
      <c r="CZ32" s="856"/>
      <c r="DA32" s="830"/>
      <c r="DB32" s="830"/>
      <c r="DC32" s="857"/>
      <c r="DD32" s="856"/>
      <c r="DE32" s="830"/>
      <c r="DF32" s="830"/>
      <c r="DG32" s="829"/>
      <c r="DH32" s="824"/>
      <c r="DI32" s="830"/>
      <c r="DJ32" s="830"/>
      <c r="DK32" s="830"/>
      <c r="DL32" s="831"/>
      <c r="DM32" s="830"/>
      <c r="DN32" s="830"/>
      <c r="DO32" s="830"/>
      <c r="DP32" s="831"/>
      <c r="DQ32" s="830"/>
      <c r="DR32" s="830"/>
      <c r="DS32" s="830"/>
      <c r="DT32" s="831"/>
      <c r="DU32" s="830"/>
      <c r="DV32" s="830"/>
      <c r="DW32" s="830"/>
      <c r="DX32" s="830"/>
      <c r="DY32" s="831"/>
      <c r="DZ32" s="830"/>
      <c r="EA32" s="830"/>
      <c r="EB32" s="1298" t="s">
        <v>94</v>
      </c>
      <c r="EC32" s="1299"/>
      <c r="ED32" s="1299"/>
      <c r="EE32" s="1299"/>
      <c r="EF32" s="1299"/>
      <c r="EG32" s="1299"/>
      <c r="EH32" s="1299"/>
      <c r="EI32" s="1299"/>
      <c r="EJ32" s="1299"/>
      <c r="EK32" s="1299"/>
      <c r="EL32" s="1277"/>
      <c r="EM32" s="1277"/>
      <c r="EN32" s="1277"/>
      <c r="EO32" s="854"/>
      <c r="EP32" s="855"/>
      <c r="EQ32" s="824"/>
      <c r="ER32" s="824"/>
      <c r="ES32" s="824"/>
      <c r="ET32" s="824"/>
      <c r="EU32" s="829"/>
      <c r="EV32" s="824"/>
      <c r="EW32" s="824"/>
      <c r="EX32" s="865"/>
      <c r="EY32" s="864"/>
      <c r="EZ32" s="866"/>
      <c r="FA32" s="865"/>
      <c r="FB32" s="865"/>
      <c r="FC32" s="864"/>
      <c r="FD32" s="866"/>
      <c r="FE32" s="865"/>
      <c r="FF32" s="865"/>
      <c r="FG32" s="864"/>
      <c r="FH32" s="826"/>
      <c r="FI32" s="827"/>
      <c r="FJ32" s="827"/>
      <c r="FK32" s="827"/>
      <c r="FL32" s="828"/>
      <c r="FM32" s="827"/>
      <c r="FN32" s="827"/>
      <c r="FO32" s="827"/>
      <c r="FP32" s="828"/>
      <c r="FQ32" s="827"/>
      <c r="FR32" s="827"/>
      <c r="FS32" s="828"/>
      <c r="FT32" s="1251"/>
    </row>
    <row r="33" spans="2:176" ht="19.899999999999999" customHeight="1" thickTop="1" x14ac:dyDescent="0.25">
      <c r="B33" s="1287">
        <v>8</v>
      </c>
      <c r="C33" s="796">
        <f>C32+1</f>
        <v>29</v>
      </c>
      <c r="D33" s="797"/>
      <c r="E33" s="798"/>
      <c r="F33" s="798"/>
      <c r="G33" s="803"/>
      <c r="H33" s="798"/>
      <c r="I33" s="804"/>
      <c r="J33" s="804"/>
      <c r="K33" s="804"/>
      <c r="L33" s="861"/>
      <c r="M33" s="804"/>
      <c r="N33" s="804"/>
      <c r="O33" s="804"/>
      <c r="P33" s="1270" t="s">
        <v>125</v>
      </c>
      <c r="Q33" s="1271"/>
      <c r="R33" s="1271"/>
      <c r="S33" s="1271"/>
      <c r="T33" s="1271"/>
      <c r="U33" s="1271"/>
      <c r="V33" s="1271"/>
      <c r="W33" s="1271"/>
      <c r="X33" s="1271"/>
      <c r="Y33" s="1271"/>
      <c r="Z33" s="1271"/>
      <c r="AA33" s="1271"/>
      <c r="AB33" s="1271"/>
      <c r="AC33" s="1271"/>
      <c r="AD33" s="1271"/>
      <c r="AE33" s="1271"/>
      <c r="AF33" s="1271"/>
      <c r="AG33" s="1271"/>
      <c r="AH33" s="1271"/>
      <c r="AI33" s="1271"/>
      <c r="AJ33" s="1271"/>
      <c r="AK33" s="1271"/>
      <c r="AL33" s="1271"/>
      <c r="AM33" s="1271"/>
      <c r="AN33" s="1271"/>
      <c r="AO33" s="1271"/>
      <c r="AP33" s="1271"/>
      <c r="AQ33" s="1271"/>
      <c r="AR33" s="1271"/>
      <c r="AS33" s="1271"/>
      <c r="AT33" s="1271"/>
      <c r="AU33" s="1271"/>
      <c r="AV33" s="798"/>
      <c r="AW33" s="798"/>
      <c r="AX33" s="1282" t="s">
        <v>91</v>
      </c>
      <c r="AY33" s="1257"/>
      <c r="AZ33" s="1257"/>
      <c r="BA33" s="1257"/>
      <c r="BB33" s="1257"/>
      <c r="BC33" s="1257"/>
      <c r="BD33" s="1257"/>
      <c r="BE33" s="1257"/>
      <c r="BF33" s="1257"/>
      <c r="BG33" s="1257"/>
      <c r="BH33" s="1257"/>
      <c r="BI33" s="1257"/>
      <c r="BJ33" s="1257"/>
      <c r="BK33" s="1257"/>
      <c r="BL33" s="1257"/>
      <c r="BM33" s="1257"/>
      <c r="BN33" s="1257"/>
      <c r="BO33" s="804"/>
      <c r="BP33" s="861"/>
      <c r="BQ33" s="804"/>
      <c r="BR33" s="801"/>
      <c r="BS33" s="1254" t="s">
        <v>80</v>
      </c>
      <c r="BT33" s="1255"/>
      <c r="BU33" s="1255"/>
      <c r="BV33" s="1255"/>
      <c r="BW33" s="1255"/>
      <c r="BX33" s="1255"/>
      <c r="BY33" s="1255"/>
      <c r="BZ33" s="1255"/>
      <c r="CA33" s="1255"/>
      <c r="CB33" s="1255"/>
      <c r="CC33" s="1255"/>
      <c r="CD33" s="1255"/>
      <c r="CE33" s="1256"/>
      <c r="CF33" s="845"/>
      <c r="CG33" s="846"/>
      <c r="CH33" s="800"/>
      <c r="CI33" s="800"/>
      <c r="CJ33" s="800"/>
      <c r="CK33" s="800"/>
      <c r="CL33" s="799"/>
      <c r="CM33" s="1248" t="s">
        <v>111</v>
      </c>
      <c r="CN33" s="1257"/>
      <c r="CO33" s="1257"/>
      <c r="CP33" s="1257"/>
      <c r="CQ33" s="1257"/>
      <c r="CR33" s="1257"/>
      <c r="CS33" s="1257"/>
      <c r="CT33" s="1257"/>
      <c r="CU33" s="1257"/>
      <c r="CV33" s="1257"/>
      <c r="CW33" s="1257"/>
      <c r="CX33" s="1257"/>
      <c r="CY33" s="1257"/>
      <c r="CZ33" s="842"/>
      <c r="DA33" s="804"/>
      <c r="DB33" s="804"/>
      <c r="DC33" s="843"/>
      <c r="DD33" s="842"/>
      <c r="DE33" s="804"/>
      <c r="DF33" s="804"/>
      <c r="DG33" s="803"/>
      <c r="DH33" s="798"/>
      <c r="DI33" s="804"/>
      <c r="DJ33" s="804"/>
      <c r="DK33" s="804"/>
      <c r="DL33" s="861"/>
      <c r="DM33" s="804"/>
      <c r="DN33" s="804"/>
      <c r="DO33" s="804"/>
      <c r="DP33" s="1270" t="s">
        <v>125</v>
      </c>
      <c r="DQ33" s="1271"/>
      <c r="DR33" s="1271"/>
      <c r="DS33" s="1271"/>
      <c r="DT33" s="1271"/>
      <c r="DU33" s="1271"/>
      <c r="DV33" s="1271"/>
      <c r="DW33" s="1271"/>
      <c r="DX33" s="1271"/>
      <c r="DY33" s="1271"/>
      <c r="DZ33" s="1271"/>
      <c r="EA33" s="1271"/>
      <c r="EB33" s="1271"/>
      <c r="EC33" s="1271"/>
      <c r="ED33" s="1271"/>
      <c r="EE33" s="1271"/>
      <c r="EF33" s="1271"/>
      <c r="EG33" s="1271"/>
      <c r="EH33" s="1271"/>
      <c r="EI33" s="1271"/>
      <c r="EJ33" s="1271"/>
      <c r="EK33" s="1271"/>
      <c r="EL33" s="1271"/>
      <c r="EM33" s="1271"/>
      <c r="EN33" s="1271"/>
      <c r="EO33" s="1271"/>
      <c r="EP33" s="1271"/>
      <c r="EQ33" s="1271"/>
      <c r="ER33" s="1271"/>
      <c r="ES33" s="1271"/>
      <c r="ET33" s="1271"/>
      <c r="EU33" s="1271"/>
      <c r="EV33" s="798"/>
      <c r="EW33" s="798"/>
      <c r="EX33" s="1282" t="s">
        <v>91</v>
      </c>
      <c r="EY33" s="1257"/>
      <c r="EZ33" s="1257"/>
      <c r="FA33" s="1257"/>
      <c r="FB33" s="1257"/>
      <c r="FC33" s="1257"/>
      <c r="FD33" s="1257"/>
      <c r="FE33" s="1257"/>
      <c r="FF33" s="1257"/>
      <c r="FG33" s="1257"/>
      <c r="FH33" s="1257"/>
      <c r="FI33" s="1257"/>
      <c r="FJ33" s="1257"/>
      <c r="FK33" s="1257"/>
      <c r="FL33" s="1257"/>
      <c r="FM33" s="1257"/>
      <c r="FN33" s="1257"/>
      <c r="FO33" s="804"/>
      <c r="FP33" s="861"/>
      <c r="FQ33" s="804"/>
      <c r="FR33" s="801"/>
      <c r="FS33" s="1254" t="s">
        <v>80</v>
      </c>
      <c r="FT33" s="1255"/>
    </row>
    <row r="34" spans="2:176" ht="19.899999999999999" customHeight="1" x14ac:dyDescent="0.25">
      <c r="B34" s="1288"/>
      <c r="C34" s="808">
        <f t="shared" ref="C34:C36" si="1">C33+1</f>
        <v>30</v>
      </c>
      <c r="D34" s="809"/>
      <c r="E34" s="813"/>
      <c r="F34" s="813"/>
      <c r="G34" s="814"/>
      <c r="H34" s="813"/>
      <c r="L34" s="817"/>
      <c r="P34" s="1273"/>
      <c r="Q34" s="1273"/>
      <c r="R34" s="1273"/>
      <c r="S34" s="1273"/>
      <c r="T34" s="1273"/>
      <c r="U34" s="1273"/>
      <c r="V34" s="1273"/>
      <c r="W34" s="1273"/>
      <c r="X34" s="1273"/>
      <c r="Y34" s="1273"/>
      <c r="Z34" s="1273"/>
      <c r="AA34" s="1273"/>
      <c r="AB34" s="1273"/>
      <c r="AC34" s="1273"/>
      <c r="AD34" s="1273"/>
      <c r="AE34" s="1273"/>
      <c r="AF34" s="1273"/>
      <c r="AG34" s="1273"/>
      <c r="AH34" s="1273"/>
      <c r="AI34" s="1273"/>
      <c r="AJ34" s="1273"/>
      <c r="AK34" s="1273"/>
      <c r="AL34" s="1218"/>
      <c r="AM34" s="1218"/>
      <c r="AN34" s="1218"/>
      <c r="AO34" s="1218"/>
      <c r="AP34" s="1218"/>
      <c r="AQ34" s="1218"/>
      <c r="AR34" s="1218"/>
      <c r="AS34" s="1218"/>
      <c r="AT34" s="1218"/>
      <c r="AU34" s="1218"/>
      <c r="AV34" s="813"/>
      <c r="AW34" s="813"/>
      <c r="AX34" s="867"/>
      <c r="AY34" s="868"/>
      <c r="AZ34" s="869"/>
      <c r="BA34" s="867"/>
      <c r="BB34" s="868"/>
      <c r="BC34" s="870"/>
      <c r="BD34" s="871"/>
      <c r="BE34" s="1260" t="s">
        <v>114</v>
      </c>
      <c r="BF34" s="1258"/>
      <c r="BG34" s="1258"/>
      <c r="BH34" s="1258"/>
      <c r="BI34" s="1258"/>
      <c r="BJ34" s="1258"/>
      <c r="BK34" s="1259"/>
      <c r="BL34" s="1259"/>
      <c r="BM34" s="1259"/>
      <c r="BN34" s="1259"/>
      <c r="BO34" s="1259"/>
      <c r="BP34" s="1259"/>
      <c r="BQ34" s="1259"/>
      <c r="BR34" s="1259"/>
      <c r="BS34" s="1259"/>
      <c r="BT34" s="816"/>
      <c r="BV34" s="784"/>
      <c r="BW34" s="1261" t="s">
        <v>80</v>
      </c>
      <c r="BX34" s="1261"/>
      <c r="BY34" s="1261"/>
      <c r="BZ34" s="1261"/>
      <c r="CA34" s="1261"/>
      <c r="CB34" s="1232"/>
      <c r="CC34" s="1232"/>
      <c r="CD34" s="1232"/>
      <c r="CE34" s="1261"/>
      <c r="CF34" s="1261"/>
      <c r="CG34" s="1261"/>
      <c r="CH34" s="1261"/>
      <c r="CI34" s="1261"/>
      <c r="CJ34" s="784"/>
      <c r="CK34" s="784"/>
      <c r="CL34" s="810"/>
      <c r="CM34" s="1258"/>
      <c r="CN34" s="1258"/>
      <c r="CO34" s="1258"/>
      <c r="CP34" s="1258"/>
      <c r="CQ34" s="1258"/>
      <c r="CR34" s="1258"/>
      <c r="CS34" s="1258"/>
      <c r="CT34" s="1259"/>
      <c r="CU34" s="1259"/>
      <c r="CV34" s="1259"/>
      <c r="CW34" s="1259"/>
      <c r="CX34" s="1259"/>
      <c r="CY34" s="1259"/>
      <c r="CZ34" s="849"/>
      <c r="DC34" s="850"/>
      <c r="DD34" s="849"/>
      <c r="DG34" s="814"/>
      <c r="DH34" s="813"/>
      <c r="DL34" s="817"/>
      <c r="DP34" s="1273"/>
      <c r="DQ34" s="1273"/>
      <c r="DR34" s="1273"/>
      <c r="DS34" s="1273"/>
      <c r="DT34" s="1273"/>
      <c r="DU34" s="1273"/>
      <c r="DV34" s="1273"/>
      <c r="DW34" s="1273"/>
      <c r="DX34" s="1273"/>
      <c r="DY34" s="1273"/>
      <c r="DZ34" s="1273"/>
      <c r="EA34" s="1273"/>
      <c r="EB34" s="1273"/>
      <c r="EC34" s="1273"/>
      <c r="ED34" s="1273"/>
      <c r="EE34" s="1273"/>
      <c r="EF34" s="1273"/>
      <c r="EG34" s="1273"/>
      <c r="EH34" s="1273"/>
      <c r="EI34" s="1273"/>
      <c r="EJ34" s="1273"/>
      <c r="EK34" s="1273"/>
      <c r="EL34" s="1218"/>
      <c r="EM34" s="1218"/>
      <c r="EN34" s="1218"/>
      <c r="EO34" s="1218"/>
      <c r="EP34" s="1218"/>
      <c r="EQ34" s="1218"/>
      <c r="ER34" s="1218"/>
      <c r="ES34" s="1218"/>
      <c r="ET34" s="1218"/>
      <c r="EU34" s="1218"/>
      <c r="EV34" s="813"/>
      <c r="EW34" s="813"/>
      <c r="EX34" s="867"/>
      <c r="EY34" s="868"/>
      <c r="EZ34" s="869"/>
      <c r="FA34" s="867"/>
      <c r="FB34" s="868"/>
      <c r="FC34" s="870"/>
      <c r="FD34" s="871"/>
      <c r="FE34" s="1260" t="s">
        <v>114</v>
      </c>
      <c r="FF34" s="1258"/>
      <c r="FG34" s="1258"/>
      <c r="FH34" s="1258"/>
      <c r="FI34" s="1258"/>
      <c r="FJ34" s="1258"/>
      <c r="FK34" s="1259"/>
      <c r="FL34" s="1259"/>
      <c r="FM34" s="1259"/>
      <c r="FN34" s="1259"/>
      <c r="FO34" s="1259"/>
      <c r="FP34" s="1259"/>
      <c r="FQ34" s="1259"/>
      <c r="FR34" s="1259"/>
      <c r="FS34" s="1259"/>
      <c r="FT34" s="816"/>
    </row>
    <row r="35" spans="2:176" ht="19.899999999999999" customHeight="1" x14ac:dyDescent="0.25">
      <c r="B35" s="1288"/>
      <c r="C35" s="808">
        <f t="shared" si="1"/>
        <v>31</v>
      </c>
      <c r="D35" s="809"/>
      <c r="E35" s="813"/>
      <c r="F35" s="813"/>
      <c r="G35" s="814"/>
      <c r="H35" s="813"/>
      <c r="L35" s="817"/>
      <c r="P35" s="817"/>
      <c r="S35" s="818"/>
      <c r="T35" s="819"/>
      <c r="U35" s="820"/>
      <c r="V35" s="818"/>
      <c r="W35" s="1300" t="s">
        <v>90</v>
      </c>
      <c r="X35" s="1258"/>
      <c r="Y35" s="1258"/>
      <c r="Z35" s="1258"/>
      <c r="AA35" s="1258"/>
      <c r="AB35" s="1258"/>
      <c r="AC35" s="1258"/>
      <c r="AD35" s="1258"/>
      <c r="AE35" s="1258"/>
      <c r="AF35" s="1258"/>
      <c r="AG35" s="1258"/>
      <c r="AH35" s="1258"/>
      <c r="AI35" s="1301"/>
      <c r="AJ35" s="1301"/>
      <c r="AK35" s="821"/>
      <c r="AL35" s="1283" t="s">
        <v>91</v>
      </c>
      <c r="AM35" s="1258"/>
      <c r="AN35" s="1258"/>
      <c r="AO35" s="1258"/>
      <c r="AP35" s="1258"/>
      <c r="AQ35" s="1258"/>
      <c r="AR35" s="1258"/>
      <c r="AS35" s="1258"/>
      <c r="AT35" s="1258"/>
      <c r="AU35" s="1258"/>
      <c r="AV35" s="1258"/>
      <c r="AW35" s="1258"/>
      <c r="AX35" s="1258"/>
      <c r="AY35" s="1258"/>
      <c r="AZ35" s="1258"/>
      <c r="BA35" s="1258"/>
      <c r="BB35" s="1258"/>
      <c r="BC35" s="813"/>
      <c r="BD35" s="809"/>
      <c r="BE35" s="813"/>
      <c r="BF35" s="813"/>
      <c r="BG35" s="814"/>
      <c r="BH35" s="813"/>
      <c r="BK35" s="1260" t="s">
        <v>114</v>
      </c>
      <c r="BL35" s="1258"/>
      <c r="BM35" s="1258"/>
      <c r="BN35" s="1258"/>
      <c r="BO35" s="1258"/>
      <c r="BP35" s="1258"/>
      <c r="BQ35" s="1258"/>
      <c r="BR35" s="1258"/>
      <c r="BS35" s="1258"/>
      <c r="BT35" s="1258"/>
      <c r="BU35" s="1258"/>
      <c r="BV35" s="1258"/>
      <c r="BW35" s="1258"/>
      <c r="BX35" s="1258"/>
      <c r="BY35" s="1258"/>
      <c r="BZ35" s="1258"/>
      <c r="CA35" s="1258"/>
      <c r="CC35" s="1262" t="s">
        <v>80</v>
      </c>
      <c r="CD35" s="1262"/>
      <c r="CE35" s="1262"/>
      <c r="CF35" s="1262"/>
      <c r="CG35" s="1262"/>
      <c r="CH35" s="1262"/>
      <c r="CI35" s="1262"/>
      <c r="CJ35" s="1262"/>
      <c r="CK35" s="1262"/>
      <c r="CL35" s="1262"/>
      <c r="CM35" s="1263"/>
      <c r="CQ35" s="849"/>
      <c r="CT35" s="1311" t="s">
        <v>111</v>
      </c>
      <c r="CU35" s="1312"/>
      <c r="CV35" s="1312"/>
      <c r="CW35" s="1312"/>
      <c r="CX35" s="1312"/>
      <c r="CY35" s="1312"/>
      <c r="CZ35" s="1312"/>
      <c r="DA35" s="1312"/>
      <c r="DB35" s="1312"/>
      <c r="DC35" s="1312"/>
      <c r="DD35" s="1312"/>
      <c r="DE35" s="1312"/>
      <c r="DF35" s="1313"/>
      <c r="DG35" s="814"/>
      <c r="DH35" s="813"/>
      <c r="DL35" s="817"/>
      <c r="DP35" s="817"/>
      <c r="DS35" s="818"/>
      <c r="DT35" s="819"/>
      <c r="DU35" s="820"/>
      <c r="DV35" s="818"/>
      <c r="DW35" s="1300" t="s">
        <v>90</v>
      </c>
      <c r="DX35" s="1258"/>
      <c r="DY35" s="1258"/>
      <c r="DZ35" s="1258"/>
      <c r="EA35" s="1258"/>
      <c r="EB35" s="1258"/>
      <c r="EC35" s="1258"/>
      <c r="ED35" s="1258"/>
      <c r="EE35" s="1258"/>
      <c r="EF35" s="1258"/>
      <c r="EG35" s="1258"/>
      <c r="EH35" s="1258"/>
      <c r="EI35" s="1301"/>
      <c r="EJ35" s="1301"/>
      <c r="EK35" s="821"/>
      <c r="EL35" s="1283" t="s">
        <v>91</v>
      </c>
      <c r="EM35" s="1258"/>
      <c r="EN35" s="1258"/>
      <c r="EO35" s="1258"/>
      <c r="EP35" s="1258"/>
      <c r="EQ35" s="1258"/>
      <c r="ER35" s="1258"/>
      <c r="ES35" s="1258"/>
      <c r="ET35" s="1258"/>
      <c r="EU35" s="1258"/>
      <c r="EV35" s="1258"/>
      <c r="EW35" s="1258"/>
      <c r="EX35" s="1258"/>
      <c r="EY35" s="1258"/>
      <c r="EZ35" s="1258"/>
      <c r="FA35" s="1258"/>
      <c r="FB35" s="1258"/>
      <c r="FC35" s="813"/>
      <c r="FD35" s="809"/>
      <c r="FE35" s="813"/>
      <c r="FF35" s="813"/>
      <c r="FG35" s="814"/>
      <c r="FH35" s="813"/>
      <c r="FK35" s="1260" t="s">
        <v>114</v>
      </c>
      <c r="FL35" s="1258"/>
      <c r="FM35" s="1258"/>
      <c r="FN35" s="1258"/>
      <c r="FO35" s="1258"/>
      <c r="FP35" s="1258"/>
      <c r="FQ35" s="1258"/>
      <c r="FR35" s="1258"/>
      <c r="FS35" s="1258"/>
      <c r="FT35" s="1258"/>
    </row>
    <row r="36" spans="2:176" ht="19.899999999999999" customHeight="1" thickBot="1" x14ac:dyDescent="0.3">
      <c r="B36" s="1289"/>
      <c r="C36" s="822">
        <f t="shared" si="1"/>
        <v>32</v>
      </c>
      <c r="D36" s="823"/>
      <c r="E36" s="824"/>
      <c r="F36" s="824"/>
      <c r="G36" s="829"/>
      <c r="H36" s="824"/>
      <c r="I36" s="830"/>
      <c r="J36" s="830"/>
      <c r="K36" s="830"/>
      <c r="L36" s="831"/>
      <c r="M36" s="830"/>
      <c r="N36" s="830"/>
      <c r="O36" s="830"/>
      <c r="P36" s="831"/>
      <c r="Q36" s="830"/>
      <c r="R36" s="830"/>
      <c r="S36" s="830"/>
      <c r="T36" s="831"/>
      <c r="U36" s="830"/>
      <c r="V36" s="830"/>
      <c r="W36" s="1264"/>
      <c r="X36" s="1264"/>
      <c r="Y36" s="1264"/>
      <c r="Z36" s="1264"/>
      <c r="AA36" s="1264"/>
      <c r="AB36" s="1264"/>
      <c r="AC36" s="1264"/>
      <c r="AD36" s="1264"/>
      <c r="AE36" s="1264"/>
      <c r="AF36" s="1264"/>
      <c r="AG36" s="1264"/>
      <c r="AH36" s="1264"/>
      <c r="AI36" s="1264"/>
      <c r="AJ36" s="1264"/>
      <c r="AK36" s="832"/>
      <c r="AL36" s="833"/>
      <c r="AM36" s="834"/>
      <c r="AN36" s="835"/>
      <c r="AO36" s="836"/>
      <c r="AP36" s="837"/>
      <c r="AQ36" s="824"/>
      <c r="AR36" s="1285" t="s">
        <v>91</v>
      </c>
      <c r="AS36" s="1266"/>
      <c r="AT36" s="1266"/>
      <c r="AU36" s="1266"/>
      <c r="AV36" s="1266"/>
      <c r="AW36" s="1266"/>
      <c r="AX36" s="1266"/>
      <c r="AY36" s="1266"/>
      <c r="AZ36" s="1266"/>
      <c r="BA36" s="1266"/>
      <c r="BB36" s="1266"/>
      <c r="BC36" s="1264"/>
      <c r="BD36" s="1264"/>
      <c r="BE36" s="1264"/>
      <c r="BF36" s="1264"/>
      <c r="BG36" s="1264"/>
      <c r="BH36" s="1264"/>
      <c r="BI36" s="830"/>
      <c r="BJ36" s="830"/>
      <c r="BK36" s="830"/>
      <c r="BL36" s="831"/>
      <c r="BM36" s="830"/>
      <c r="BN36" s="830"/>
      <c r="BO36" s="830"/>
      <c r="BP36" s="831"/>
      <c r="BQ36" s="830"/>
      <c r="BR36" s="830"/>
      <c r="BS36" s="830"/>
      <c r="BT36" s="838"/>
      <c r="BU36" s="830"/>
      <c r="BV36" s="830"/>
      <c r="BW36" s="830"/>
      <c r="BX36" s="830"/>
      <c r="BY36" s="830"/>
      <c r="BZ36" s="1265" t="s">
        <v>110</v>
      </c>
      <c r="CA36" s="1266"/>
      <c r="CB36" s="1264"/>
      <c r="CC36" s="1264"/>
      <c r="CD36" s="1264"/>
      <c r="CE36" s="1264"/>
      <c r="CF36" s="1264"/>
      <c r="CG36" s="1264"/>
      <c r="CH36" s="1264"/>
      <c r="CI36" s="1264"/>
      <c r="CJ36" s="1264"/>
      <c r="CK36" s="1264"/>
      <c r="CL36" s="1264"/>
      <c r="CM36" s="1264"/>
      <c r="CN36" s="830"/>
      <c r="CO36" s="830"/>
      <c r="CP36" s="830"/>
      <c r="CQ36" s="856"/>
      <c r="CR36" s="830"/>
      <c r="CS36" s="830"/>
      <c r="CT36" s="1314"/>
      <c r="CU36" s="1315"/>
      <c r="CV36" s="1315"/>
      <c r="CW36" s="1315"/>
      <c r="CX36" s="1315"/>
      <c r="CY36" s="1315"/>
      <c r="CZ36" s="1315"/>
      <c r="DA36" s="1315"/>
      <c r="DB36" s="1315"/>
      <c r="DC36" s="1315"/>
      <c r="DD36" s="1315"/>
      <c r="DE36" s="1315"/>
      <c r="DF36" s="1316"/>
      <c r="DG36" s="829"/>
      <c r="DH36" s="824"/>
      <c r="DI36" s="830"/>
      <c r="DJ36" s="830"/>
      <c r="DK36" s="830"/>
      <c r="DL36" s="831"/>
      <c r="DM36" s="830"/>
      <c r="DN36" s="830"/>
      <c r="DO36" s="830"/>
      <c r="DP36" s="831"/>
      <c r="DQ36" s="830"/>
      <c r="DR36" s="830"/>
      <c r="DS36" s="830"/>
      <c r="DT36" s="831"/>
      <c r="DU36" s="830"/>
      <c r="DV36" s="830"/>
      <c r="DW36" s="1264"/>
      <c r="DX36" s="1264"/>
      <c r="DY36" s="1264"/>
      <c r="DZ36" s="1264"/>
      <c r="EA36" s="1264"/>
      <c r="EB36" s="1264"/>
      <c r="EC36" s="1264"/>
      <c r="ED36" s="1264"/>
      <c r="EE36" s="1264"/>
      <c r="EF36" s="1264"/>
      <c r="EG36" s="1264"/>
      <c r="EH36" s="1264"/>
      <c r="EI36" s="1264"/>
      <c r="EJ36" s="1264"/>
      <c r="EK36" s="832"/>
      <c r="EL36" s="833"/>
      <c r="EM36" s="834"/>
      <c r="EN36" s="835"/>
      <c r="EO36" s="836"/>
      <c r="EP36" s="837"/>
      <c r="EQ36" s="824"/>
      <c r="ER36" s="1285" t="s">
        <v>91</v>
      </c>
      <c r="ES36" s="1266"/>
      <c r="ET36" s="1266"/>
      <c r="EU36" s="1266"/>
      <c r="EV36" s="1266"/>
      <c r="EW36" s="1266"/>
      <c r="EX36" s="1266"/>
      <c r="EY36" s="1266"/>
      <c r="EZ36" s="1266"/>
      <c r="FA36" s="1266"/>
      <c r="FB36" s="1266"/>
      <c r="FC36" s="1264"/>
      <c r="FD36" s="1264"/>
      <c r="FE36" s="1264"/>
      <c r="FF36" s="1264"/>
      <c r="FG36" s="1264"/>
      <c r="FH36" s="1264"/>
      <c r="FI36" s="830"/>
      <c r="FJ36" s="830"/>
      <c r="FK36" s="830"/>
      <c r="FL36" s="831"/>
      <c r="FM36" s="830"/>
      <c r="FN36" s="830"/>
      <c r="FO36" s="830"/>
      <c r="FP36" s="831"/>
      <c r="FQ36" s="830"/>
      <c r="FR36" s="830"/>
      <c r="FS36" s="830"/>
      <c r="FT36" s="838"/>
    </row>
    <row r="37" spans="2:176" ht="19.899999999999999" customHeight="1" thickTop="1" x14ac:dyDescent="0.25">
      <c r="B37" s="872"/>
      <c r="C37" s="873"/>
      <c r="D37" s="809"/>
      <c r="E37" s="813"/>
      <c r="F37" s="813"/>
      <c r="G37" s="814"/>
      <c r="H37" s="813"/>
      <c r="L37" s="817"/>
      <c r="P37" s="817"/>
      <c r="T37" s="817"/>
      <c r="Y37" s="817"/>
      <c r="AC37" s="817"/>
      <c r="AG37" s="817"/>
      <c r="AH37" s="813"/>
      <c r="AI37" s="813"/>
      <c r="AJ37" s="813"/>
      <c r="AK37" s="813"/>
      <c r="AL37" s="814"/>
      <c r="AM37" s="813"/>
      <c r="AN37" s="813"/>
      <c r="AO37" s="813"/>
      <c r="AP37" s="814"/>
      <c r="AQ37" s="813"/>
      <c r="AR37" s="813"/>
      <c r="AS37" s="813"/>
      <c r="AT37" s="813"/>
      <c r="AU37" s="814"/>
      <c r="AV37" s="813"/>
      <c r="AW37" s="813"/>
      <c r="AX37" s="813"/>
      <c r="AY37" s="814"/>
      <c r="AZ37" s="813"/>
      <c r="BA37" s="813"/>
      <c r="BB37" s="813"/>
      <c r="BC37" s="813"/>
      <c r="BD37" s="809"/>
      <c r="BE37" s="813"/>
      <c r="BF37" s="813"/>
      <c r="BG37" s="814"/>
      <c r="BH37" s="813"/>
      <c r="BL37" s="817"/>
      <c r="BP37" s="817"/>
      <c r="BT37" s="817"/>
    </row>
    <row r="38" spans="2:176" ht="19.899999999999999" customHeight="1" x14ac:dyDescent="0.25">
      <c r="B38" s="872"/>
      <c r="C38" s="873"/>
      <c r="D38" s="874"/>
      <c r="E38" s="875"/>
      <c r="F38" s="875"/>
      <c r="G38" s="876"/>
      <c r="H38" s="875"/>
      <c r="I38" s="875"/>
      <c r="J38" s="875"/>
      <c r="K38" s="875"/>
      <c r="L38" s="876"/>
      <c r="M38" s="875"/>
      <c r="N38" s="875"/>
      <c r="O38" s="875"/>
      <c r="P38" s="876"/>
      <c r="Q38" s="875"/>
      <c r="R38" s="875"/>
      <c r="S38" s="875"/>
      <c r="T38" s="876"/>
      <c r="Y38" s="817"/>
      <c r="AC38" s="817"/>
      <c r="AG38" s="817"/>
      <c r="AH38" s="872"/>
      <c r="AL38" s="817"/>
      <c r="AP38" s="817"/>
      <c r="AQ38" s="875"/>
      <c r="AR38" s="875"/>
      <c r="AS38" s="875"/>
      <c r="AT38" s="875"/>
      <c r="AU38" s="876"/>
      <c r="AV38" s="875"/>
      <c r="AW38" s="875"/>
      <c r="AX38" s="875"/>
      <c r="AY38" s="876"/>
      <c r="AZ38" s="875"/>
      <c r="BA38" s="875"/>
      <c r="BB38" s="875"/>
      <c r="BC38" s="875"/>
      <c r="BD38" s="874"/>
      <c r="BE38" s="875"/>
      <c r="BF38" s="875"/>
      <c r="BG38" s="876"/>
      <c r="BH38" s="875"/>
      <c r="BI38" s="875"/>
      <c r="BJ38" s="875"/>
      <c r="BK38" s="875"/>
      <c r="BL38" s="876"/>
      <c r="BM38" s="875"/>
      <c r="BN38" s="875"/>
      <c r="BO38" s="875"/>
      <c r="BP38" s="876"/>
      <c r="BQ38" s="875"/>
      <c r="BR38" s="875"/>
      <c r="BS38" s="875"/>
      <c r="BT38" s="876"/>
    </row>
    <row r="39" spans="2:176" ht="19.899999999999999" customHeight="1" x14ac:dyDescent="0.25">
      <c r="B39" s="872"/>
      <c r="C39" s="873"/>
      <c r="D39" s="874"/>
      <c r="E39" s="875"/>
      <c r="F39" s="875"/>
      <c r="G39" s="876"/>
      <c r="H39" s="875"/>
      <c r="I39" s="875"/>
      <c r="J39" s="875"/>
      <c r="K39" s="875"/>
      <c r="L39" s="876"/>
      <c r="M39" s="875"/>
      <c r="N39" s="875"/>
      <c r="O39" s="875"/>
      <c r="P39" s="876"/>
      <c r="Q39" s="875"/>
      <c r="R39" s="875"/>
      <c r="S39" s="875"/>
      <c r="T39" s="876"/>
      <c r="Y39" s="817"/>
      <c r="AC39" s="817"/>
      <c r="AG39" s="817"/>
      <c r="AL39" s="817"/>
      <c r="AP39" s="817"/>
      <c r="AQ39" s="875"/>
      <c r="AR39" s="875"/>
      <c r="AS39" s="875"/>
      <c r="AT39" s="875"/>
      <c r="AU39" s="876"/>
      <c r="AV39" s="875"/>
      <c r="AW39" s="875"/>
      <c r="AX39" s="875"/>
      <c r="AY39" s="876"/>
      <c r="AZ39" s="875"/>
      <c r="BA39" s="875"/>
      <c r="BB39" s="875"/>
      <c r="BC39" s="875"/>
      <c r="BD39" s="874"/>
      <c r="BE39" s="875"/>
      <c r="BF39" s="875"/>
      <c r="BG39" s="876"/>
      <c r="BH39" s="875"/>
      <c r="BI39" s="875"/>
      <c r="BJ39" s="875"/>
      <c r="BK39" s="875"/>
      <c r="BL39" s="876"/>
      <c r="BM39" s="875"/>
      <c r="BN39" s="875"/>
      <c r="BO39" s="875"/>
      <c r="BP39" s="876"/>
      <c r="BQ39" s="875"/>
      <c r="BR39" s="875"/>
      <c r="BS39" s="875"/>
      <c r="BT39" s="876"/>
    </row>
    <row r="40" spans="2:176" ht="19.899999999999999" customHeight="1" x14ac:dyDescent="0.25">
      <c r="B40" s="872"/>
      <c r="C40" s="873"/>
      <c r="D40" s="874"/>
      <c r="E40" s="875"/>
      <c r="F40" s="875"/>
      <c r="G40" s="876"/>
      <c r="H40" s="875"/>
      <c r="I40" s="875"/>
      <c r="J40" s="875"/>
      <c r="K40" s="875"/>
      <c r="L40" s="876"/>
      <c r="M40" s="875"/>
      <c r="N40" s="875"/>
      <c r="O40" s="875"/>
      <c r="P40" s="876"/>
      <c r="Q40" s="875"/>
      <c r="R40" s="875"/>
      <c r="S40" s="875"/>
      <c r="T40" s="876"/>
      <c r="Y40" s="817"/>
      <c r="AC40" s="817"/>
      <c r="AG40" s="817"/>
      <c r="AL40" s="817"/>
      <c r="AP40" s="817"/>
      <c r="AQ40" s="875"/>
      <c r="AR40" s="875"/>
      <c r="AS40" s="875"/>
      <c r="AT40" s="875"/>
      <c r="AU40" s="876"/>
      <c r="AV40" s="875"/>
      <c r="AW40" s="875"/>
      <c r="AX40" s="875"/>
      <c r="AY40" s="876"/>
      <c r="AZ40" s="875"/>
      <c r="BA40" s="875"/>
      <c r="BB40" s="875"/>
      <c r="BC40" s="875"/>
      <c r="BD40" s="874"/>
      <c r="BE40" s="875"/>
      <c r="BF40" s="875"/>
      <c r="BG40" s="876"/>
      <c r="BH40" s="875"/>
      <c r="BI40" s="875"/>
      <c r="BJ40" s="875"/>
      <c r="BK40" s="875"/>
      <c r="BL40" s="876"/>
      <c r="BM40" s="875"/>
      <c r="BN40" s="875"/>
      <c r="BO40" s="875"/>
      <c r="BP40" s="876"/>
      <c r="BQ40" s="875"/>
      <c r="BR40" s="875"/>
      <c r="BS40" s="875"/>
      <c r="BT40" s="876"/>
    </row>
    <row r="41" spans="2:176" ht="19.899999999999999" customHeight="1" x14ac:dyDescent="0.25">
      <c r="B41" s="872"/>
      <c r="C41" s="873"/>
      <c r="D41" s="874"/>
      <c r="E41" s="875"/>
      <c r="F41" s="875"/>
      <c r="G41" s="876"/>
      <c r="H41" s="875"/>
      <c r="I41" s="875"/>
      <c r="J41" s="875"/>
      <c r="K41" s="875"/>
      <c r="L41" s="876"/>
      <c r="M41" s="875"/>
      <c r="N41" s="875"/>
      <c r="O41" s="875"/>
      <c r="P41" s="876"/>
      <c r="Q41" s="875"/>
      <c r="R41" s="875"/>
      <c r="S41" s="875"/>
      <c r="T41" s="876"/>
      <c r="Y41" s="817"/>
      <c r="AC41" s="817"/>
      <c r="AG41" s="817"/>
      <c r="AL41" s="817"/>
      <c r="AP41" s="817"/>
      <c r="AQ41" s="875"/>
      <c r="AR41" s="875"/>
      <c r="AS41" s="875"/>
      <c r="AT41" s="875"/>
      <c r="AU41" s="876"/>
      <c r="AV41" s="875"/>
      <c r="AW41" s="875"/>
      <c r="AX41" s="875"/>
      <c r="AY41" s="876"/>
      <c r="AZ41" s="875"/>
      <c r="BA41" s="875"/>
      <c r="BB41" s="875"/>
      <c r="BC41" s="875"/>
      <c r="BD41" s="874"/>
      <c r="BE41" s="875"/>
      <c r="BF41" s="875"/>
      <c r="BG41" s="876"/>
      <c r="BH41" s="875"/>
      <c r="BI41" s="875"/>
      <c r="BJ41" s="875"/>
      <c r="BK41" s="875"/>
      <c r="BL41" s="876"/>
      <c r="BM41" s="875"/>
      <c r="BN41" s="875"/>
      <c r="BO41" s="875"/>
      <c r="BP41" s="876"/>
      <c r="BQ41" s="875"/>
      <c r="BR41" s="875"/>
      <c r="BS41" s="875"/>
      <c r="BT41" s="876"/>
    </row>
    <row r="42" spans="2:176" ht="19.899999999999999" customHeight="1" x14ac:dyDescent="0.25">
      <c r="B42" s="872"/>
      <c r="C42" s="873"/>
      <c r="D42" s="874"/>
      <c r="E42" s="875"/>
      <c r="F42" s="875"/>
      <c r="G42" s="876"/>
      <c r="H42" s="875"/>
      <c r="I42" s="875"/>
      <c r="J42" s="875"/>
      <c r="K42" s="875"/>
      <c r="L42" s="876"/>
      <c r="M42" s="875"/>
      <c r="N42" s="875"/>
      <c r="O42" s="875"/>
      <c r="P42" s="876"/>
      <c r="Q42" s="875"/>
      <c r="R42" s="875"/>
      <c r="S42" s="875"/>
      <c r="T42" s="876"/>
      <c r="Y42" s="817"/>
      <c r="AC42" s="817"/>
      <c r="AG42" s="817"/>
      <c r="AL42" s="817"/>
      <c r="AP42" s="817"/>
      <c r="AQ42" s="875"/>
      <c r="AR42" s="875"/>
      <c r="AS42" s="875"/>
      <c r="AT42" s="875"/>
      <c r="AU42" s="876"/>
      <c r="AV42" s="875"/>
      <c r="AW42" s="875"/>
      <c r="AX42" s="875"/>
      <c r="AY42" s="876"/>
      <c r="AZ42" s="875"/>
      <c r="BA42" s="875"/>
      <c r="BB42" s="875"/>
      <c r="BC42" s="875"/>
      <c r="BD42" s="874"/>
      <c r="BE42" s="875"/>
      <c r="BF42" s="875"/>
      <c r="BG42" s="876"/>
      <c r="BH42" s="875"/>
      <c r="BI42" s="875"/>
      <c r="BJ42" s="875"/>
      <c r="BK42" s="875"/>
      <c r="BL42" s="876"/>
      <c r="BM42" s="875"/>
      <c r="BN42" s="875"/>
      <c r="BO42" s="875"/>
      <c r="BP42" s="876"/>
      <c r="BQ42" s="875"/>
      <c r="BR42" s="875"/>
      <c r="BS42" s="875"/>
      <c r="BT42" s="876"/>
    </row>
    <row r="43" spans="2:176" ht="19.899999999999999" customHeight="1" x14ac:dyDescent="0.25">
      <c r="B43" s="872"/>
      <c r="C43" s="873"/>
      <c r="D43" s="874"/>
      <c r="E43" s="875"/>
      <c r="F43" s="875"/>
      <c r="G43" s="876"/>
      <c r="H43" s="875"/>
      <c r="I43" s="875"/>
      <c r="J43" s="875"/>
      <c r="K43" s="875"/>
      <c r="L43" s="876"/>
      <c r="M43" s="875"/>
      <c r="N43" s="875"/>
      <c r="O43" s="875"/>
      <c r="P43" s="876"/>
      <c r="Q43" s="875"/>
      <c r="R43" s="875"/>
      <c r="S43" s="875"/>
      <c r="T43" s="876"/>
      <c r="Y43" s="817"/>
      <c r="AC43" s="817"/>
      <c r="AG43" s="817"/>
      <c r="AL43" s="817"/>
      <c r="AP43" s="817"/>
      <c r="AQ43" s="875"/>
      <c r="AR43" s="875"/>
      <c r="AS43" s="875"/>
      <c r="AT43" s="875"/>
      <c r="AU43" s="876"/>
      <c r="AV43" s="875"/>
      <c r="AW43" s="875"/>
      <c r="AX43" s="875"/>
      <c r="AY43" s="876"/>
      <c r="AZ43" s="875"/>
      <c r="BA43" s="875"/>
      <c r="BB43" s="875"/>
      <c r="BC43" s="875"/>
      <c r="BD43" s="874"/>
      <c r="BE43" s="875"/>
      <c r="BF43" s="875"/>
      <c r="BG43" s="876"/>
      <c r="BH43" s="875"/>
      <c r="BI43" s="875"/>
      <c r="BJ43" s="875"/>
      <c r="BK43" s="875"/>
      <c r="BL43" s="876"/>
      <c r="BM43" s="875"/>
      <c r="BN43" s="875"/>
      <c r="BO43" s="875"/>
      <c r="BP43" s="876"/>
      <c r="BQ43" s="875"/>
      <c r="BR43" s="875"/>
      <c r="BS43" s="875"/>
      <c r="BT43" s="876"/>
    </row>
    <row r="44" spans="2:176" ht="19.899999999999999" customHeight="1" x14ac:dyDescent="0.25">
      <c r="B44" s="872"/>
      <c r="C44" s="873"/>
      <c r="D44" s="874"/>
      <c r="E44" s="875"/>
      <c r="F44" s="875"/>
      <c r="G44" s="876"/>
      <c r="H44" s="875"/>
      <c r="I44" s="875"/>
      <c r="J44" s="875"/>
      <c r="K44" s="875"/>
      <c r="L44" s="876"/>
      <c r="M44" s="875"/>
      <c r="N44" s="875"/>
      <c r="O44" s="875"/>
      <c r="P44" s="876"/>
      <c r="Q44" s="875"/>
      <c r="R44" s="875"/>
      <c r="S44" s="875"/>
      <c r="T44" s="876"/>
      <c r="Y44" s="817"/>
      <c r="AC44" s="817"/>
      <c r="AG44" s="817"/>
      <c r="AL44" s="817"/>
      <c r="AP44" s="817"/>
      <c r="AQ44" s="875"/>
      <c r="AR44" s="875"/>
      <c r="AS44" s="875"/>
      <c r="AT44" s="875"/>
      <c r="AU44" s="876"/>
      <c r="AV44" s="875"/>
      <c r="AW44" s="875"/>
      <c r="AX44" s="875"/>
      <c r="AY44" s="876"/>
      <c r="AZ44" s="875"/>
      <c r="BA44" s="875"/>
      <c r="BB44" s="875"/>
      <c r="BC44" s="875"/>
      <c r="BD44" s="874"/>
      <c r="BE44" s="875"/>
      <c r="BF44" s="875"/>
      <c r="BG44" s="876"/>
      <c r="BH44" s="875"/>
      <c r="BI44" s="875"/>
      <c r="BJ44" s="875"/>
      <c r="BK44" s="875"/>
      <c r="BL44" s="876"/>
      <c r="BM44" s="875"/>
      <c r="BN44" s="875"/>
      <c r="BO44" s="875"/>
      <c r="BP44" s="876"/>
      <c r="BQ44" s="875"/>
      <c r="BR44" s="875"/>
      <c r="BS44" s="875"/>
      <c r="BT44" s="876"/>
    </row>
    <row r="45" spans="2:176" ht="19.899999999999999" customHeight="1" x14ac:dyDescent="0.25">
      <c r="B45" s="872"/>
      <c r="C45" s="873"/>
      <c r="D45" s="874"/>
      <c r="E45" s="875"/>
      <c r="F45" s="875"/>
      <c r="G45" s="876"/>
      <c r="H45" s="875"/>
      <c r="I45" s="875"/>
      <c r="J45" s="875"/>
      <c r="K45" s="875"/>
      <c r="L45" s="876"/>
      <c r="M45" s="875"/>
      <c r="N45" s="875"/>
      <c r="O45" s="875"/>
      <c r="P45" s="876"/>
      <c r="Q45" s="875"/>
      <c r="R45" s="875"/>
      <c r="S45" s="875"/>
      <c r="T45" s="876"/>
      <c r="Y45" s="817"/>
      <c r="AC45" s="817"/>
      <c r="AG45" s="817"/>
      <c r="AL45" s="817"/>
      <c r="AP45" s="817"/>
      <c r="AQ45" s="875"/>
      <c r="AR45" s="875"/>
      <c r="AS45" s="875"/>
      <c r="AT45" s="875"/>
      <c r="AU45" s="876"/>
      <c r="AV45" s="875"/>
      <c r="AW45" s="875"/>
      <c r="AX45" s="875"/>
      <c r="AY45" s="876"/>
      <c r="AZ45" s="875"/>
      <c r="BA45" s="875"/>
      <c r="BB45" s="875"/>
      <c r="BC45" s="875"/>
      <c r="BD45" s="874"/>
      <c r="BE45" s="875"/>
      <c r="BF45" s="875"/>
      <c r="BG45" s="876"/>
      <c r="BH45" s="875"/>
      <c r="BI45" s="875"/>
      <c r="BJ45" s="875"/>
      <c r="BK45" s="875"/>
      <c r="BL45" s="876"/>
      <c r="BM45" s="875"/>
      <c r="BN45" s="875"/>
      <c r="BO45" s="875"/>
      <c r="BP45" s="876"/>
      <c r="BQ45" s="875"/>
      <c r="BR45" s="875"/>
      <c r="BS45" s="875"/>
      <c r="BT45" s="876"/>
    </row>
    <row r="46" spans="2:176" ht="19.899999999999999" customHeight="1" x14ac:dyDescent="0.25">
      <c r="B46" s="872"/>
      <c r="C46" s="873"/>
      <c r="D46" s="874"/>
      <c r="E46" s="875"/>
      <c r="F46" s="875"/>
      <c r="G46" s="876"/>
      <c r="H46" s="875"/>
      <c r="I46" s="875"/>
      <c r="J46" s="875"/>
      <c r="K46" s="875"/>
      <c r="L46" s="876"/>
      <c r="M46" s="875"/>
      <c r="N46" s="875"/>
      <c r="O46" s="875"/>
      <c r="P46" s="876"/>
      <c r="Q46" s="875"/>
      <c r="R46" s="875"/>
      <c r="S46" s="875"/>
      <c r="T46" s="876"/>
      <c r="Y46" s="817"/>
      <c r="AC46" s="817"/>
      <c r="AG46" s="817"/>
      <c r="AL46" s="817"/>
      <c r="AP46" s="817"/>
      <c r="AQ46" s="875"/>
      <c r="AR46" s="875"/>
      <c r="AS46" s="875"/>
      <c r="AT46" s="875"/>
      <c r="AU46" s="876"/>
      <c r="AV46" s="875"/>
      <c r="AW46" s="875"/>
      <c r="AX46" s="875"/>
      <c r="AY46" s="876"/>
      <c r="AZ46" s="875"/>
      <c r="BA46" s="875"/>
      <c r="BB46" s="875"/>
      <c r="BC46" s="875"/>
      <c r="BD46" s="874"/>
      <c r="BE46" s="875"/>
      <c r="BF46" s="875"/>
      <c r="BG46" s="876"/>
      <c r="BH46" s="875"/>
      <c r="BI46" s="875"/>
      <c r="BJ46" s="875"/>
      <c r="BK46" s="875"/>
      <c r="BL46" s="876"/>
      <c r="BM46" s="875"/>
      <c r="BN46" s="875"/>
      <c r="BO46" s="875"/>
      <c r="BP46" s="876"/>
      <c r="BQ46" s="875"/>
      <c r="BR46" s="875"/>
      <c r="BS46" s="875"/>
      <c r="BT46" s="876"/>
    </row>
    <row r="47" spans="2:176" ht="19.899999999999999" customHeight="1" x14ac:dyDescent="0.25">
      <c r="B47" s="872"/>
      <c r="C47" s="873"/>
      <c r="D47" s="874"/>
      <c r="E47" s="875"/>
      <c r="F47" s="875"/>
      <c r="G47" s="876"/>
      <c r="H47" s="875"/>
      <c r="I47" s="875"/>
      <c r="J47" s="875"/>
      <c r="K47" s="875"/>
      <c r="L47" s="876"/>
      <c r="M47" s="875"/>
      <c r="N47" s="875"/>
      <c r="O47" s="875"/>
      <c r="P47" s="876"/>
      <c r="Q47" s="875"/>
      <c r="R47" s="875"/>
      <c r="S47" s="875"/>
      <c r="T47" s="876"/>
      <c r="Y47" s="817"/>
      <c r="AC47" s="817"/>
      <c r="AG47" s="817"/>
      <c r="AL47" s="817"/>
      <c r="AP47" s="817"/>
      <c r="AQ47" s="875"/>
      <c r="AR47" s="875"/>
      <c r="AS47" s="875"/>
      <c r="AT47" s="875"/>
      <c r="AU47" s="876"/>
      <c r="AV47" s="875"/>
      <c r="AW47" s="875"/>
      <c r="AX47" s="875"/>
      <c r="AY47" s="876"/>
      <c r="AZ47" s="875"/>
      <c r="BA47" s="875"/>
      <c r="BB47" s="875"/>
      <c r="BC47" s="875"/>
      <c r="BD47" s="874"/>
      <c r="BE47" s="875"/>
      <c r="BF47" s="875"/>
      <c r="BG47" s="876"/>
      <c r="BH47" s="875"/>
      <c r="BI47" s="875"/>
      <c r="BJ47" s="875"/>
      <c r="BK47" s="875"/>
      <c r="BL47" s="876"/>
      <c r="BM47" s="875"/>
      <c r="BN47" s="875"/>
      <c r="BO47" s="875"/>
      <c r="BP47" s="876"/>
      <c r="BQ47" s="875"/>
      <c r="BR47" s="875"/>
      <c r="BS47" s="875"/>
      <c r="BT47" s="876"/>
    </row>
    <row r="48" spans="2:176" ht="19.899999999999999" customHeight="1" x14ac:dyDescent="0.25">
      <c r="B48" s="872"/>
      <c r="C48" s="873"/>
      <c r="D48" s="874"/>
      <c r="E48" s="875"/>
      <c r="F48" s="875"/>
      <c r="G48" s="876"/>
      <c r="H48" s="875"/>
      <c r="I48" s="875"/>
      <c r="J48" s="875"/>
      <c r="K48" s="875"/>
      <c r="L48" s="876"/>
      <c r="M48" s="875"/>
      <c r="N48" s="875"/>
      <c r="O48" s="875"/>
      <c r="P48" s="876"/>
      <c r="Q48" s="875"/>
      <c r="R48" s="875"/>
      <c r="S48" s="875"/>
      <c r="T48" s="876"/>
      <c r="Y48" s="817"/>
      <c r="AC48" s="817"/>
      <c r="AG48" s="817"/>
      <c r="AL48" s="817"/>
      <c r="AP48" s="817"/>
      <c r="AQ48" s="875"/>
      <c r="AR48" s="875"/>
      <c r="AS48" s="875"/>
      <c r="AT48" s="875"/>
      <c r="AU48" s="876"/>
      <c r="AV48" s="875"/>
      <c r="AW48" s="875"/>
      <c r="AX48" s="875"/>
      <c r="AY48" s="876"/>
      <c r="AZ48" s="875"/>
      <c r="BA48" s="875"/>
      <c r="BB48" s="875"/>
      <c r="BC48" s="875"/>
      <c r="BD48" s="874"/>
      <c r="BE48" s="875"/>
      <c r="BF48" s="875"/>
      <c r="BG48" s="876"/>
      <c r="BH48" s="875"/>
      <c r="BI48" s="875"/>
      <c r="BJ48" s="875"/>
      <c r="BK48" s="875"/>
      <c r="BL48" s="876"/>
      <c r="BM48" s="875"/>
      <c r="BN48" s="875"/>
      <c r="BO48" s="875"/>
      <c r="BP48" s="876"/>
      <c r="BQ48" s="875"/>
      <c r="BR48" s="875"/>
      <c r="BS48" s="875"/>
      <c r="BT48" s="876"/>
    </row>
    <row r="49" spans="2:72" ht="19.899999999999999" customHeight="1" x14ac:dyDescent="0.25">
      <c r="B49" s="872"/>
      <c r="C49" s="873"/>
      <c r="D49" s="874"/>
      <c r="E49" s="875"/>
      <c r="F49" s="875"/>
      <c r="G49" s="876"/>
      <c r="H49" s="875"/>
      <c r="I49" s="875"/>
      <c r="J49" s="875"/>
      <c r="K49" s="875"/>
      <c r="L49" s="876"/>
      <c r="M49" s="875"/>
      <c r="N49" s="875"/>
      <c r="O49" s="875"/>
      <c r="P49" s="876"/>
      <c r="Q49" s="875"/>
      <c r="R49" s="875"/>
      <c r="S49" s="875"/>
      <c r="T49" s="876"/>
      <c r="Y49" s="817"/>
      <c r="AC49" s="817"/>
      <c r="AG49" s="817"/>
      <c r="AL49" s="817"/>
      <c r="AP49" s="817"/>
      <c r="AQ49" s="875"/>
      <c r="AR49" s="875"/>
      <c r="AS49" s="875"/>
      <c r="AT49" s="875"/>
      <c r="AU49" s="876"/>
      <c r="AV49" s="875"/>
      <c r="AW49" s="875"/>
      <c r="AX49" s="875"/>
      <c r="AY49" s="876"/>
      <c r="AZ49" s="875"/>
      <c r="BA49" s="875"/>
      <c r="BB49" s="875"/>
      <c r="BC49" s="875"/>
      <c r="BD49" s="874"/>
      <c r="BE49" s="875"/>
      <c r="BF49" s="875"/>
      <c r="BG49" s="876"/>
      <c r="BH49" s="875"/>
      <c r="BI49" s="875"/>
      <c r="BJ49" s="875"/>
      <c r="BK49" s="875"/>
      <c r="BL49" s="876"/>
      <c r="BM49" s="875"/>
      <c r="BN49" s="875"/>
      <c r="BO49" s="875"/>
      <c r="BP49" s="876"/>
      <c r="BQ49" s="875"/>
      <c r="BR49" s="875"/>
      <c r="BS49" s="875"/>
      <c r="BT49" s="876"/>
    </row>
    <row r="50" spans="2:72" ht="19.899999999999999" customHeight="1" x14ac:dyDescent="0.25">
      <c r="B50" s="872"/>
      <c r="C50" s="873"/>
      <c r="D50" s="874"/>
      <c r="E50" s="875"/>
      <c r="F50" s="875"/>
      <c r="G50" s="876"/>
      <c r="H50" s="875"/>
      <c r="I50" s="875"/>
      <c r="J50" s="875"/>
      <c r="K50" s="875"/>
      <c r="L50" s="876"/>
      <c r="M50" s="875"/>
      <c r="N50" s="875"/>
      <c r="O50" s="875"/>
      <c r="P50" s="876"/>
      <c r="Q50" s="875"/>
      <c r="R50" s="875"/>
      <c r="S50" s="875"/>
      <c r="T50" s="876"/>
      <c r="Y50" s="817"/>
      <c r="AC50" s="817"/>
      <c r="AG50" s="817"/>
      <c r="AL50" s="817"/>
      <c r="AP50" s="817"/>
      <c r="AQ50" s="875"/>
      <c r="AR50" s="875"/>
      <c r="AS50" s="875"/>
      <c r="AT50" s="875"/>
      <c r="AU50" s="876"/>
      <c r="AV50" s="875"/>
      <c r="AW50" s="875"/>
      <c r="AX50" s="875"/>
      <c r="AY50" s="876"/>
      <c r="AZ50" s="875"/>
      <c r="BA50" s="875"/>
      <c r="BB50" s="875"/>
      <c r="BC50" s="875"/>
      <c r="BD50" s="874"/>
      <c r="BE50" s="875"/>
      <c r="BF50" s="875"/>
      <c r="BG50" s="876"/>
      <c r="BH50" s="875"/>
      <c r="BI50" s="875"/>
      <c r="BJ50" s="875"/>
      <c r="BK50" s="875"/>
      <c r="BL50" s="876"/>
      <c r="BM50" s="875"/>
      <c r="BN50" s="875"/>
      <c r="BO50" s="875"/>
      <c r="BP50" s="876"/>
      <c r="BQ50" s="875"/>
      <c r="BR50" s="875"/>
      <c r="BS50" s="875"/>
      <c r="BT50" s="876"/>
    </row>
    <row r="51" spans="2:72" ht="19.899999999999999" customHeight="1" x14ac:dyDescent="0.25">
      <c r="B51" s="872"/>
      <c r="C51" s="873"/>
      <c r="D51" s="874"/>
      <c r="E51" s="875"/>
      <c r="F51" s="875"/>
      <c r="G51" s="876"/>
      <c r="H51" s="875"/>
      <c r="I51" s="875"/>
      <c r="J51" s="875"/>
      <c r="K51" s="875"/>
      <c r="L51" s="876"/>
      <c r="M51" s="875"/>
      <c r="N51" s="875"/>
      <c r="O51" s="875"/>
      <c r="P51" s="876"/>
      <c r="Q51" s="875"/>
      <c r="R51" s="875"/>
      <c r="S51" s="875"/>
      <c r="T51" s="876"/>
      <c r="Y51" s="817"/>
      <c r="AC51" s="817"/>
      <c r="AG51" s="817"/>
      <c r="AL51" s="817"/>
      <c r="AP51" s="817"/>
      <c r="AQ51" s="875"/>
      <c r="AR51" s="875"/>
      <c r="AS51" s="875"/>
      <c r="AT51" s="875"/>
      <c r="AU51" s="876"/>
      <c r="AV51" s="875"/>
      <c r="AW51" s="875"/>
      <c r="AX51" s="875"/>
      <c r="AY51" s="876"/>
      <c r="AZ51" s="875"/>
      <c r="BA51" s="875"/>
      <c r="BB51" s="875"/>
      <c r="BC51" s="875"/>
      <c r="BD51" s="874"/>
      <c r="BE51" s="875"/>
      <c r="BF51" s="875"/>
      <c r="BG51" s="876"/>
      <c r="BH51" s="875"/>
      <c r="BI51" s="875"/>
      <c r="BJ51" s="875"/>
      <c r="BK51" s="875"/>
      <c r="BL51" s="876"/>
      <c r="BM51" s="875"/>
      <c r="BN51" s="875"/>
      <c r="BO51" s="875"/>
      <c r="BP51" s="876"/>
      <c r="BQ51" s="875"/>
      <c r="BR51" s="875"/>
      <c r="BS51" s="875"/>
      <c r="BT51" s="876"/>
    </row>
    <row r="52" spans="2:72" ht="19.899999999999999" customHeight="1" x14ac:dyDescent="0.25">
      <c r="B52" s="872"/>
      <c r="C52" s="873"/>
      <c r="D52" s="874"/>
      <c r="E52" s="875"/>
      <c r="F52" s="875"/>
      <c r="G52" s="876"/>
      <c r="H52" s="875"/>
      <c r="I52" s="875"/>
      <c r="J52" s="875"/>
      <c r="K52" s="875"/>
      <c r="L52" s="876"/>
      <c r="M52" s="875"/>
      <c r="N52" s="875"/>
      <c r="O52" s="875"/>
      <c r="P52" s="876"/>
      <c r="Q52" s="875"/>
      <c r="R52" s="875"/>
      <c r="S52" s="875"/>
      <c r="T52" s="876"/>
      <c r="Y52" s="817"/>
      <c r="AC52" s="817"/>
      <c r="AG52" s="817"/>
      <c r="AL52" s="817"/>
      <c r="AP52" s="817"/>
      <c r="AQ52" s="875"/>
      <c r="AR52" s="875"/>
      <c r="AS52" s="875"/>
      <c r="AT52" s="875"/>
      <c r="AU52" s="876"/>
      <c r="AV52" s="875"/>
      <c r="AW52" s="875"/>
      <c r="AX52" s="875"/>
      <c r="AY52" s="876"/>
      <c r="AZ52" s="875"/>
      <c r="BA52" s="875"/>
      <c r="BB52" s="875"/>
      <c r="BC52" s="875"/>
      <c r="BD52" s="874"/>
      <c r="BE52" s="875"/>
      <c r="BF52" s="875"/>
      <c r="BG52" s="876"/>
      <c r="BH52" s="875"/>
      <c r="BI52" s="875"/>
      <c r="BJ52" s="875"/>
      <c r="BK52" s="875"/>
      <c r="BL52" s="876"/>
      <c r="BM52" s="875"/>
      <c r="BN52" s="875"/>
      <c r="BO52" s="875"/>
      <c r="BP52" s="876"/>
      <c r="BQ52" s="875"/>
      <c r="BR52" s="875"/>
      <c r="BS52" s="875"/>
      <c r="BT52" s="876"/>
    </row>
    <row r="53" spans="2:72" ht="19.899999999999999" customHeight="1" x14ac:dyDescent="0.25">
      <c r="B53" s="872"/>
      <c r="C53" s="873"/>
      <c r="D53" s="874"/>
      <c r="E53" s="875"/>
      <c r="F53" s="875"/>
      <c r="G53" s="876"/>
      <c r="H53" s="875"/>
      <c r="I53" s="875"/>
      <c r="J53" s="875"/>
      <c r="K53" s="875"/>
      <c r="L53" s="876"/>
      <c r="M53" s="875"/>
      <c r="N53" s="875"/>
      <c r="O53" s="875"/>
      <c r="P53" s="876"/>
      <c r="Q53" s="875"/>
      <c r="R53" s="875"/>
      <c r="S53" s="875"/>
      <c r="T53" s="876"/>
      <c r="Y53" s="817"/>
      <c r="AC53" s="817"/>
      <c r="AG53" s="817"/>
      <c r="AL53" s="817"/>
      <c r="AP53" s="817"/>
      <c r="AQ53" s="875"/>
      <c r="AR53" s="875"/>
      <c r="AS53" s="875"/>
      <c r="AT53" s="875"/>
      <c r="AU53" s="876"/>
      <c r="AV53" s="875"/>
      <c r="AW53" s="875"/>
      <c r="AX53" s="875"/>
      <c r="AY53" s="876"/>
      <c r="AZ53" s="875"/>
      <c r="BA53" s="875"/>
      <c r="BB53" s="875"/>
      <c r="BC53" s="875"/>
      <c r="BD53" s="874"/>
      <c r="BE53" s="875"/>
      <c r="BF53" s="875"/>
      <c r="BG53" s="876"/>
      <c r="BH53" s="875"/>
      <c r="BI53" s="875"/>
      <c r="BJ53" s="875"/>
      <c r="BK53" s="875"/>
      <c r="BL53" s="876"/>
      <c r="BM53" s="875"/>
      <c r="BN53" s="875"/>
      <c r="BO53" s="875"/>
      <c r="BP53" s="876"/>
      <c r="BQ53" s="875"/>
      <c r="BR53" s="875"/>
      <c r="BS53" s="875"/>
      <c r="BT53" s="876"/>
    </row>
    <row r="54" spans="2:72" ht="19.899999999999999" customHeight="1" x14ac:dyDescent="0.25">
      <c r="B54" s="872"/>
      <c r="C54" s="873"/>
      <c r="D54" s="874"/>
      <c r="E54" s="875"/>
      <c r="F54" s="875"/>
      <c r="G54" s="876"/>
      <c r="H54" s="875"/>
      <c r="I54" s="875"/>
      <c r="J54" s="875"/>
      <c r="K54" s="875"/>
      <c r="L54" s="876"/>
      <c r="M54" s="875"/>
      <c r="N54" s="875"/>
      <c r="O54" s="875"/>
      <c r="P54" s="876"/>
      <c r="Q54" s="875"/>
      <c r="R54" s="875"/>
      <c r="S54" s="875"/>
      <c r="T54" s="876"/>
      <c r="Y54" s="817"/>
      <c r="AC54" s="817"/>
      <c r="AG54" s="817"/>
      <c r="AL54" s="817"/>
      <c r="AP54" s="817"/>
      <c r="AQ54" s="875"/>
      <c r="AR54" s="875"/>
      <c r="AS54" s="875"/>
      <c r="AT54" s="875"/>
      <c r="AU54" s="876"/>
      <c r="AV54" s="875"/>
      <c r="AW54" s="875"/>
      <c r="AX54" s="875"/>
      <c r="AY54" s="876"/>
      <c r="AZ54" s="875"/>
      <c r="BA54" s="875"/>
      <c r="BB54" s="875"/>
      <c r="BC54" s="875"/>
      <c r="BD54" s="874"/>
      <c r="BE54" s="875"/>
      <c r="BF54" s="875"/>
      <c r="BG54" s="876"/>
      <c r="BH54" s="875"/>
      <c r="BI54" s="875"/>
      <c r="BJ54" s="875"/>
      <c r="BK54" s="875"/>
      <c r="BL54" s="876"/>
      <c r="BM54" s="875"/>
      <c r="BN54" s="875"/>
      <c r="BO54" s="875"/>
      <c r="BP54" s="876"/>
      <c r="BQ54" s="875"/>
      <c r="BR54" s="875"/>
      <c r="BS54" s="875"/>
      <c r="BT54" s="876"/>
    </row>
    <row r="55" spans="2:72" ht="19.899999999999999" customHeight="1" x14ac:dyDescent="0.25">
      <c r="B55" s="872"/>
      <c r="C55" s="873"/>
      <c r="D55" s="872"/>
      <c r="G55" s="817"/>
      <c r="L55" s="817"/>
      <c r="P55" s="817"/>
      <c r="T55" s="817"/>
      <c r="Y55" s="817"/>
      <c r="AC55" s="817"/>
      <c r="AG55" s="817"/>
      <c r="AH55" s="875"/>
      <c r="AI55" s="875"/>
      <c r="AJ55" s="875"/>
      <c r="AK55" s="875"/>
      <c r="AL55" s="876"/>
      <c r="AM55" s="875"/>
      <c r="AN55" s="875"/>
      <c r="AO55" s="875"/>
      <c r="AP55" s="876"/>
      <c r="AQ55" s="875"/>
      <c r="AR55" s="875"/>
      <c r="AS55" s="875"/>
      <c r="AT55" s="875"/>
      <c r="AU55" s="876"/>
      <c r="AV55" s="875"/>
      <c r="AY55" s="817"/>
      <c r="BD55" s="872"/>
      <c r="BG55" s="817"/>
      <c r="BL55" s="817"/>
      <c r="BP55" s="817"/>
      <c r="BT55" s="817"/>
    </row>
    <row r="56" spans="2:72" ht="19.899999999999999" customHeight="1" x14ac:dyDescent="0.25">
      <c r="B56" s="872"/>
      <c r="C56" s="873"/>
      <c r="D56" s="872"/>
      <c r="G56" s="817"/>
      <c r="L56" s="817"/>
      <c r="P56" s="817"/>
      <c r="T56" s="817"/>
      <c r="Y56" s="817"/>
      <c r="AC56" s="817"/>
      <c r="AG56" s="817"/>
      <c r="AH56" s="875"/>
      <c r="AI56" s="875"/>
      <c r="AJ56" s="875"/>
      <c r="AK56" s="875"/>
      <c r="AL56" s="876"/>
      <c r="AM56" s="875"/>
      <c r="AN56" s="875"/>
      <c r="AO56" s="875"/>
      <c r="AP56" s="876"/>
      <c r="AQ56" s="875"/>
      <c r="AR56" s="875"/>
      <c r="AS56" s="875"/>
      <c r="AT56" s="875"/>
      <c r="AU56" s="876"/>
      <c r="AV56" s="875"/>
      <c r="AY56" s="817"/>
      <c r="BD56" s="872"/>
      <c r="BG56" s="817"/>
      <c r="BL56" s="817"/>
      <c r="BP56" s="817"/>
      <c r="BT56" s="817"/>
    </row>
    <row r="57" spans="2:72" ht="19.899999999999999" customHeight="1" x14ac:dyDescent="0.25">
      <c r="B57" s="872"/>
      <c r="C57" s="873"/>
      <c r="D57" s="872"/>
      <c r="G57" s="817"/>
      <c r="L57" s="817"/>
      <c r="P57" s="817"/>
      <c r="T57" s="817"/>
      <c r="Y57" s="817"/>
      <c r="AC57" s="817"/>
      <c r="AG57" s="817"/>
      <c r="AH57" s="875"/>
      <c r="AI57" s="875"/>
      <c r="AJ57" s="875"/>
      <c r="AK57" s="875"/>
      <c r="AL57" s="876"/>
      <c r="AM57" s="875"/>
      <c r="AN57" s="875"/>
      <c r="AO57" s="875"/>
      <c r="AP57" s="876"/>
      <c r="AQ57" s="875"/>
      <c r="AR57" s="875"/>
      <c r="AS57" s="875"/>
      <c r="AT57" s="875"/>
      <c r="AU57" s="876"/>
      <c r="AV57" s="875"/>
      <c r="AY57" s="817"/>
      <c r="BD57" s="872"/>
      <c r="BG57" s="817"/>
      <c r="BL57" s="817"/>
      <c r="BP57" s="817"/>
      <c r="BT57" s="817"/>
    </row>
    <row r="58" spans="2:72" ht="19.899999999999999" customHeight="1" x14ac:dyDescent="0.25">
      <c r="B58" s="872"/>
      <c r="C58" s="873"/>
      <c r="D58" s="872"/>
      <c r="G58" s="817"/>
      <c r="L58" s="817"/>
      <c r="P58" s="817"/>
      <c r="T58" s="817"/>
      <c r="Y58" s="817"/>
      <c r="AC58" s="817"/>
      <c r="AG58" s="817"/>
      <c r="AH58" s="874"/>
      <c r="AI58" s="875"/>
      <c r="AJ58" s="875"/>
      <c r="AK58" s="875"/>
      <c r="AL58" s="876"/>
      <c r="AM58" s="875"/>
      <c r="AN58" s="875"/>
      <c r="AO58" s="875"/>
      <c r="AP58" s="876"/>
      <c r="AQ58" s="875"/>
      <c r="AR58" s="875"/>
      <c r="AS58" s="875"/>
      <c r="AT58" s="875"/>
      <c r="AU58" s="876"/>
      <c r="AV58" s="875"/>
      <c r="AY58" s="817"/>
      <c r="BD58" s="872"/>
      <c r="BG58" s="817"/>
      <c r="BL58" s="817"/>
      <c r="BP58" s="817"/>
      <c r="BT58" s="817"/>
    </row>
    <row r="59" spans="2:72" ht="19.899999999999999" customHeight="1" x14ac:dyDescent="0.25">
      <c r="B59" s="872"/>
      <c r="C59" s="873"/>
      <c r="D59" s="872"/>
      <c r="G59" s="817"/>
      <c r="L59" s="817"/>
      <c r="P59" s="817"/>
      <c r="T59" s="817"/>
      <c r="Y59" s="817"/>
      <c r="AC59" s="817"/>
      <c r="AG59" s="817"/>
      <c r="AH59" s="874"/>
      <c r="AI59" s="875"/>
      <c r="AJ59" s="875"/>
      <c r="AK59" s="875"/>
      <c r="AL59" s="876"/>
      <c r="AM59" s="875"/>
      <c r="AN59" s="875"/>
      <c r="AO59" s="875"/>
      <c r="AP59" s="876"/>
      <c r="AQ59" s="875"/>
      <c r="AR59" s="875"/>
      <c r="AS59" s="875"/>
      <c r="AT59" s="875"/>
      <c r="AU59" s="876"/>
      <c r="AV59" s="875"/>
      <c r="AY59" s="817"/>
      <c r="BD59" s="872"/>
      <c r="BG59" s="817"/>
      <c r="BL59" s="817"/>
      <c r="BP59" s="817"/>
      <c r="BT59" s="817"/>
    </row>
    <row r="60" spans="2:72" ht="19.899999999999999" customHeight="1" x14ac:dyDescent="0.25">
      <c r="B60" s="872"/>
      <c r="C60" s="873"/>
      <c r="D60" s="872"/>
      <c r="G60" s="817"/>
      <c r="L60" s="817"/>
      <c r="P60" s="817"/>
      <c r="T60" s="817"/>
      <c r="Y60" s="817"/>
      <c r="AC60" s="817"/>
      <c r="AG60" s="817"/>
      <c r="AL60" s="817"/>
      <c r="AP60" s="817"/>
      <c r="AU60" s="817"/>
      <c r="AY60" s="817"/>
      <c r="BD60" s="872"/>
      <c r="BG60" s="817"/>
      <c r="BL60" s="817"/>
      <c r="BP60" s="817"/>
      <c r="BT60" s="817"/>
    </row>
    <row r="61" spans="2:72" ht="19.899999999999999" customHeight="1" x14ac:dyDescent="0.25">
      <c r="B61" s="872"/>
      <c r="C61" s="873"/>
      <c r="D61" s="872"/>
      <c r="G61" s="817"/>
      <c r="L61" s="817"/>
      <c r="P61" s="817"/>
      <c r="T61" s="817"/>
      <c r="Y61" s="817"/>
      <c r="AC61" s="817"/>
      <c r="AG61" s="817"/>
      <c r="AL61" s="817"/>
      <c r="AP61" s="817"/>
      <c r="AU61" s="817"/>
      <c r="AY61" s="817"/>
      <c r="BD61" s="872"/>
      <c r="BG61" s="817"/>
      <c r="BL61" s="817"/>
      <c r="BP61" s="817"/>
      <c r="BT61" s="817"/>
    </row>
    <row r="62" spans="2:72" ht="19.899999999999999" customHeight="1" x14ac:dyDescent="0.25">
      <c r="B62" s="872"/>
      <c r="C62" s="873"/>
      <c r="D62" s="872"/>
      <c r="G62" s="817"/>
      <c r="L62" s="817"/>
      <c r="P62" s="817"/>
      <c r="T62" s="817"/>
      <c r="Y62" s="817"/>
      <c r="AC62" s="817"/>
      <c r="AG62" s="817"/>
      <c r="AL62" s="817"/>
      <c r="AP62" s="817"/>
      <c r="AU62" s="817"/>
      <c r="AY62" s="817"/>
      <c r="BD62" s="872"/>
      <c r="BG62" s="817"/>
      <c r="BL62" s="817"/>
      <c r="BP62" s="817"/>
      <c r="BT62" s="817"/>
    </row>
    <row r="63" spans="2:72" ht="19.899999999999999" customHeight="1" x14ac:dyDescent="0.25">
      <c r="B63" s="872"/>
      <c r="C63" s="873"/>
      <c r="D63" s="872"/>
      <c r="G63" s="817"/>
      <c r="L63" s="817"/>
      <c r="P63" s="817"/>
      <c r="T63" s="817"/>
      <c r="Y63" s="817"/>
      <c r="AC63" s="817"/>
      <c r="AG63" s="817"/>
      <c r="AL63" s="817"/>
      <c r="AP63" s="817"/>
      <c r="AU63" s="817"/>
      <c r="AY63" s="817"/>
      <c r="BD63" s="872"/>
      <c r="BG63" s="817"/>
      <c r="BL63" s="817"/>
      <c r="BP63" s="817"/>
      <c r="BT63" s="817"/>
    </row>
    <row r="64" spans="2:72" ht="19.899999999999999" customHeight="1" x14ac:dyDescent="0.25">
      <c r="B64" s="872"/>
      <c r="C64" s="873"/>
      <c r="D64" s="872"/>
      <c r="G64" s="817"/>
      <c r="L64" s="817"/>
      <c r="P64" s="817"/>
      <c r="T64" s="817"/>
      <c r="Y64" s="817"/>
      <c r="AC64" s="817"/>
      <c r="AG64" s="817"/>
      <c r="AL64" s="817"/>
      <c r="AP64" s="817"/>
      <c r="AU64" s="817"/>
      <c r="AY64" s="817"/>
      <c r="BD64" s="872"/>
      <c r="BG64" s="817"/>
      <c r="BL64" s="817"/>
      <c r="BP64" s="817"/>
      <c r="BT64" s="817"/>
    </row>
    <row r="65" spans="2:72" ht="19.899999999999999" customHeight="1" x14ac:dyDescent="0.25">
      <c r="B65" s="872"/>
      <c r="C65" s="873"/>
      <c r="D65" s="872"/>
      <c r="G65" s="817"/>
      <c r="L65" s="817"/>
      <c r="P65" s="817"/>
      <c r="T65" s="817"/>
      <c r="Y65" s="817"/>
      <c r="AC65" s="817"/>
      <c r="AG65" s="817"/>
      <c r="AL65" s="817"/>
      <c r="AP65" s="817"/>
      <c r="AU65" s="817"/>
      <c r="AY65" s="817"/>
      <c r="BD65" s="872"/>
      <c r="BG65" s="817"/>
      <c r="BL65" s="817"/>
      <c r="BP65" s="817"/>
      <c r="BT65" s="817"/>
    </row>
    <row r="66" spans="2:72" ht="19.899999999999999" customHeight="1" x14ac:dyDescent="0.25">
      <c r="B66" s="872"/>
      <c r="C66" s="873"/>
      <c r="D66" s="872"/>
      <c r="G66" s="817"/>
      <c r="L66" s="817"/>
      <c r="P66" s="817"/>
      <c r="T66" s="817"/>
      <c r="Y66" s="817"/>
      <c r="AC66" s="817"/>
      <c r="AG66" s="817"/>
      <c r="AL66" s="817"/>
      <c r="AP66" s="817"/>
      <c r="AU66" s="817"/>
      <c r="AY66" s="817"/>
      <c r="BD66" s="872"/>
      <c r="BG66" s="817"/>
      <c r="BL66" s="817"/>
      <c r="BP66" s="817"/>
      <c r="BT66" s="817"/>
    </row>
    <row r="67" spans="2:72" ht="19.899999999999999" customHeight="1" x14ac:dyDescent="0.25">
      <c r="B67" s="872"/>
      <c r="C67" s="873"/>
      <c r="D67" s="872"/>
      <c r="G67" s="817"/>
      <c r="L67" s="817"/>
      <c r="P67" s="817"/>
      <c r="T67" s="817"/>
      <c r="Y67" s="817"/>
      <c r="AC67" s="817"/>
      <c r="AG67" s="817"/>
      <c r="AL67" s="817"/>
      <c r="AP67" s="817"/>
      <c r="AU67" s="817"/>
      <c r="AY67" s="817"/>
      <c r="BD67" s="872"/>
      <c r="BG67" s="817"/>
      <c r="BL67" s="817"/>
      <c r="BP67" s="817"/>
      <c r="BT67" s="817"/>
    </row>
    <row r="68" spans="2:72" ht="19.899999999999999" customHeight="1" x14ac:dyDescent="0.25">
      <c r="B68" s="872"/>
      <c r="C68" s="873"/>
      <c r="D68" s="872"/>
      <c r="G68" s="817"/>
      <c r="L68" s="817"/>
      <c r="P68" s="817"/>
      <c r="T68" s="817"/>
      <c r="Y68" s="817"/>
      <c r="AC68" s="817"/>
      <c r="AG68" s="817"/>
      <c r="AL68" s="817"/>
      <c r="AP68" s="817"/>
      <c r="AU68" s="817"/>
      <c r="AY68" s="817"/>
      <c r="BD68" s="872"/>
      <c r="BG68" s="817"/>
      <c r="BL68" s="817"/>
      <c r="BP68" s="817"/>
      <c r="BT68" s="817"/>
    </row>
    <row r="69" spans="2:72" ht="19.899999999999999" customHeight="1" x14ac:dyDescent="0.25">
      <c r="B69" s="872"/>
      <c r="C69" s="873"/>
      <c r="G69" s="817"/>
      <c r="L69" s="817"/>
      <c r="P69" s="817"/>
      <c r="T69" s="817"/>
      <c r="Y69" s="817"/>
      <c r="AC69" s="817"/>
      <c r="AG69" s="817"/>
      <c r="AL69" s="817"/>
      <c r="AP69" s="817"/>
      <c r="AU69" s="817"/>
      <c r="AY69" s="817"/>
      <c r="BC69" s="817"/>
      <c r="BG69" s="817"/>
      <c r="BL69" s="817"/>
      <c r="BP69" s="817"/>
      <c r="BT69" s="817"/>
    </row>
    <row r="70" spans="2:72" ht="19.899999999999999" customHeight="1" x14ac:dyDescent="0.25">
      <c r="B70" s="872"/>
      <c r="C70" s="873"/>
      <c r="G70" s="817"/>
      <c r="L70" s="817"/>
      <c r="P70" s="817"/>
      <c r="T70" s="817"/>
      <c r="Y70" s="817"/>
      <c r="AC70" s="817"/>
      <c r="AG70" s="817"/>
      <c r="AL70" s="817"/>
      <c r="AP70" s="817"/>
      <c r="AU70" s="817"/>
      <c r="AY70" s="817"/>
      <c r="BC70" s="817"/>
      <c r="BG70" s="817"/>
      <c r="BL70" s="817"/>
      <c r="BP70" s="817"/>
      <c r="BT70" s="817"/>
    </row>
    <row r="71" spans="2:72" ht="19.899999999999999" customHeight="1" x14ac:dyDescent="0.25">
      <c r="B71" s="872"/>
      <c r="C71" s="873"/>
      <c r="G71" s="817"/>
      <c r="L71" s="817"/>
      <c r="P71" s="817"/>
      <c r="T71" s="817"/>
      <c r="Y71" s="817"/>
      <c r="AC71" s="817"/>
      <c r="AG71" s="817"/>
      <c r="AL71" s="817"/>
      <c r="AP71" s="817"/>
      <c r="AU71" s="817"/>
      <c r="AY71" s="817"/>
      <c r="BC71" s="817"/>
      <c r="BG71" s="817"/>
      <c r="BL71" s="817"/>
      <c r="BP71" s="817"/>
      <c r="BT71" s="817"/>
    </row>
    <row r="72" spans="2:72" ht="19.899999999999999" customHeight="1" x14ac:dyDescent="0.25">
      <c r="B72" s="872"/>
      <c r="C72" s="873"/>
      <c r="G72" s="817"/>
      <c r="L72" s="817"/>
      <c r="P72" s="817"/>
      <c r="T72" s="817"/>
      <c r="Y72" s="817"/>
      <c r="AC72" s="817"/>
      <c r="AG72" s="817"/>
      <c r="AL72" s="817"/>
      <c r="AP72" s="817"/>
      <c r="AU72" s="817"/>
      <c r="AY72" s="817"/>
      <c r="BC72" s="817"/>
      <c r="BG72" s="817"/>
      <c r="BL72" s="817"/>
      <c r="BP72" s="817"/>
      <c r="BT72" s="817"/>
    </row>
    <row r="73" spans="2:72" ht="19.899999999999999" customHeight="1" x14ac:dyDescent="0.25">
      <c r="B73" s="872"/>
      <c r="C73" s="873"/>
      <c r="G73" s="817"/>
      <c r="L73" s="817"/>
      <c r="P73" s="817"/>
      <c r="T73" s="817"/>
      <c r="Y73" s="817"/>
      <c r="AC73" s="817"/>
      <c r="AG73" s="817"/>
      <c r="AL73" s="817"/>
      <c r="AP73" s="817"/>
      <c r="AU73" s="817"/>
      <c r="AY73" s="817"/>
      <c r="BC73" s="817"/>
      <c r="BG73" s="817"/>
      <c r="BL73" s="817"/>
      <c r="BP73" s="817"/>
      <c r="BT73" s="817"/>
    </row>
    <row r="74" spans="2:72" ht="19.899999999999999" customHeight="1" x14ac:dyDescent="0.25">
      <c r="B74" s="872"/>
      <c r="C74" s="873"/>
      <c r="G74" s="817"/>
      <c r="L74" s="817"/>
      <c r="P74" s="817"/>
      <c r="T74" s="817"/>
      <c r="Y74" s="817"/>
      <c r="AC74" s="817"/>
      <c r="AG74" s="817"/>
      <c r="AL74" s="817"/>
      <c r="AP74" s="817"/>
      <c r="AU74" s="817"/>
      <c r="AY74" s="817"/>
      <c r="BC74" s="817"/>
      <c r="BG74" s="817"/>
      <c r="BL74" s="817"/>
      <c r="BP74" s="817"/>
      <c r="BT74" s="817"/>
    </row>
    <row r="75" spans="2:72" ht="19.899999999999999" customHeight="1" x14ac:dyDescent="0.25">
      <c r="B75" s="872"/>
      <c r="C75" s="873"/>
      <c r="G75" s="817"/>
      <c r="L75" s="817"/>
      <c r="P75" s="817"/>
      <c r="T75" s="817"/>
      <c r="Y75" s="817"/>
      <c r="AC75" s="817"/>
      <c r="AG75" s="817"/>
      <c r="AL75" s="817"/>
      <c r="AP75" s="817"/>
      <c r="AU75" s="817"/>
      <c r="AY75" s="817"/>
      <c r="BC75" s="817"/>
      <c r="BG75" s="817"/>
      <c r="BL75" s="817"/>
      <c r="BP75" s="817"/>
      <c r="BT75" s="817"/>
    </row>
    <row r="76" spans="2:72" ht="19.899999999999999" customHeight="1" x14ac:dyDescent="0.25">
      <c r="B76" s="872"/>
      <c r="C76" s="873"/>
      <c r="G76" s="817"/>
      <c r="L76" s="817"/>
      <c r="P76" s="817"/>
      <c r="T76" s="817"/>
      <c r="Y76" s="817"/>
      <c r="AC76" s="817"/>
      <c r="AG76" s="817"/>
      <c r="AL76" s="817"/>
      <c r="AP76" s="817"/>
      <c r="AU76" s="817"/>
      <c r="AY76" s="817"/>
      <c r="BC76" s="817"/>
      <c r="BG76" s="817"/>
      <c r="BL76" s="817"/>
      <c r="BP76" s="817"/>
      <c r="BT76" s="817"/>
    </row>
    <row r="77" spans="2:72" ht="19.899999999999999" customHeight="1" x14ac:dyDescent="0.25">
      <c r="B77" s="872"/>
      <c r="C77" s="873"/>
      <c r="G77" s="817"/>
      <c r="L77" s="817"/>
      <c r="P77" s="817"/>
      <c r="T77" s="817"/>
      <c r="Y77" s="817"/>
      <c r="AC77" s="817"/>
      <c r="AG77" s="817"/>
      <c r="AL77" s="817"/>
      <c r="AP77" s="817"/>
      <c r="AU77" s="817"/>
      <c r="AY77" s="817"/>
      <c r="BC77" s="817"/>
      <c r="BG77" s="817"/>
      <c r="BL77" s="817"/>
      <c r="BP77" s="817"/>
      <c r="BT77" s="817"/>
    </row>
    <row r="78" spans="2:72" ht="19.899999999999999" customHeight="1" x14ac:dyDescent="0.25">
      <c r="B78" s="872"/>
      <c r="C78" s="873"/>
      <c r="G78" s="817"/>
      <c r="L78" s="817"/>
      <c r="P78" s="817"/>
      <c r="T78" s="817"/>
      <c r="Y78" s="817"/>
      <c r="AC78" s="817"/>
      <c r="AG78" s="817"/>
      <c r="AL78" s="817"/>
      <c r="AP78" s="817"/>
      <c r="AU78" s="817"/>
      <c r="AY78" s="817"/>
      <c r="BC78" s="817"/>
      <c r="BG78" s="817"/>
      <c r="BL78" s="817"/>
      <c r="BP78" s="817"/>
      <c r="BT78" s="817"/>
    </row>
    <row r="79" spans="2:72" ht="19.899999999999999" customHeight="1" x14ac:dyDescent="0.25">
      <c r="B79" s="872"/>
      <c r="C79" s="873"/>
      <c r="G79" s="817"/>
      <c r="L79" s="817"/>
      <c r="P79" s="817"/>
      <c r="T79" s="817"/>
      <c r="Y79" s="817"/>
      <c r="AC79" s="817"/>
      <c r="AG79" s="817"/>
      <c r="AL79" s="817"/>
      <c r="AP79" s="817"/>
      <c r="AU79" s="817"/>
      <c r="AY79" s="817"/>
      <c r="BC79" s="817"/>
      <c r="BG79" s="817"/>
      <c r="BL79" s="817"/>
      <c r="BP79" s="817"/>
      <c r="BT79" s="817"/>
    </row>
    <row r="80" spans="2:72" ht="19.899999999999999" customHeight="1" x14ac:dyDescent="0.25">
      <c r="B80" s="872"/>
      <c r="C80" s="873"/>
      <c r="G80" s="817"/>
      <c r="L80" s="817"/>
      <c r="P80" s="817"/>
      <c r="T80" s="817"/>
      <c r="Y80" s="817"/>
      <c r="AC80" s="817"/>
      <c r="AG80" s="817"/>
      <c r="AL80" s="817"/>
      <c r="AP80" s="817"/>
      <c r="AU80" s="817"/>
      <c r="AY80" s="817"/>
      <c r="BC80" s="817"/>
      <c r="BG80" s="817"/>
      <c r="BL80" s="817"/>
      <c r="BP80" s="817"/>
      <c r="BT80" s="817"/>
    </row>
    <row r="81" spans="2:72" ht="19.899999999999999" customHeight="1" x14ac:dyDescent="0.25">
      <c r="B81" s="872"/>
      <c r="C81" s="873"/>
      <c r="G81" s="817"/>
      <c r="L81" s="817"/>
      <c r="P81" s="817"/>
      <c r="T81" s="817"/>
      <c r="Y81" s="817"/>
      <c r="AC81" s="817"/>
      <c r="AG81" s="817"/>
      <c r="AL81" s="817"/>
      <c r="AP81" s="817"/>
      <c r="AU81" s="817"/>
      <c r="AY81" s="817"/>
      <c r="BC81" s="817"/>
      <c r="BG81" s="817"/>
      <c r="BL81" s="817"/>
      <c r="BP81" s="817"/>
      <c r="BT81" s="817"/>
    </row>
    <row r="82" spans="2:72" ht="19.899999999999999" customHeight="1" x14ac:dyDescent="0.25">
      <c r="B82" s="872"/>
      <c r="C82" s="873"/>
      <c r="G82" s="817"/>
      <c r="L82" s="817"/>
      <c r="P82" s="817"/>
      <c r="T82" s="817"/>
      <c r="Y82" s="817"/>
      <c r="AC82" s="817"/>
      <c r="AG82" s="817"/>
      <c r="AL82" s="817"/>
      <c r="AP82" s="817"/>
      <c r="AU82" s="817"/>
      <c r="AY82" s="817"/>
      <c r="BC82" s="817"/>
      <c r="BG82" s="817"/>
      <c r="BL82" s="817"/>
      <c r="BP82" s="817"/>
      <c r="BT82" s="817"/>
    </row>
    <row r="83" spans="2:72" ht="19.899999999999999" customHeight="1" x14ac:dyDescent="0.25">
      <c r="B83" s="872"/>
      <c r="C83" s="873"/>
      <c r="G83" s="817"/>
      <c r="L83" s="817"/>
      <c r="P83" s="817"/>
      <c r="T83" s="817"/>
      <c r="Y83" s="817"/>
      <c r="AC83" s="817"/>
      <c r="AG83" s="817"/>
      <c r="AL83" s="817"/>
      <c r="AP83" s="817"/>
      <c r="AU83" s="817"/>
      <c r="AY83" s="817"/>
      <c r="BC83" s="817"/>
      <c r="BG83" s="817"/>
      <c r="BL83" s="817"/>
      <c r="BP83" s="817"/>
      <c r="BT83" s="817"/>
    </row>
    <row r="84" spans="2:72" ht="19.899999999999999" customHeight="1" x14ac:dyDescent="0.25">
      <c r="B84" s="872"/>
      <c r="C84" s="873"/>
      <c r="G84" s="817"/>
      <c r="L84" s="817"/>
      <c r="P84" s="817"/>
      <c r="T84" s="817"/>
      <c r="Y84" s="817"/>
      <c r="AC84" s="817"/>
      <c r="AG84" s="817"/>
      <c r="AL84" s="817"/>
      <c r="AP84" s="817"/>
      <c r="AU84" s="817"/>
      <c r="AY84" s="817"/>
      <c r="BC84" s="817"/>
      <c r="BG84" s="817"/>
      <c r="BL84" s="817"/>
      <c r="BP84" s="817"/>
      <c r="BT84" s="817"/>
    </row>
    <row r="85" spans="2:72" ht="19.899999999999999" customHeight="1" x14ac:dyDescent="0.25">
      <c r="B85" s="872"/>
      <c r="C85" s="873"/>
      <c r="G85" s="817"/>
      <c r="L85" s="817"/>
      <c r="P85" s="817"/>
      <c r="T85" s="817"/>
      <c r="Y85" s="817"/>
      <c r="AC85" s="817"/>
      <c r="AG85" s="817"/>
      <c r="AL85" s="817"/>
      <c r="AP85" s="817"/>
      <c r="AU85" s="817"/>
      <c r="AY85" s="817"/>
      <c r="BC85" s="817"/>
      <c r="BG85" s="817"/>
      <c r="BL85" s="817"/>
      <c r="BP85" s="817"/>
      <c r="BT85" s="817"/>
    </row>
    <row r="86" spans="2:72" ht="19.899999999999999" customHeight="1" x14ac:dyDescent="0.25">
      <c r="B86" s="872"/>
      <c r="C86" s="873"/>
      <c r="G86" s="817"/>
      <c r="L86" s="817"/>
      <c r="P86" s="817"/>
      <c r="T86" s="817"/>
      <c r="Y86" s="817"/>
      <c r="AC86" s="817"/>
      <c r="AG86" s="817"/>
      <c r="AL86" s="817"/>
      <c r="AP86" s="817"/>
      <c r="AU86" s="817"/>
      <c r="AY86" s="817"/>
      <c r="BC86" s="817"/>
      <c r="BG86" s="817"/>
      <c r="BL86" s="817"/>
      <c r="BP86" s="817"/>
      <c r="BT86" s="817"/>
    </row>
    <row r="87" spans="2:72" ht="19.899999999999999" customHeight="1" x14ac:dyDescent="0.25">
      <c r="B87" s="872"/>
      <c r="C87" s="873"/>
      <c r="G87" s="817"/>
      <c r="L87" s="817"/>
      <c r="P87" s="817"/>
      <c r="T87" s="817"/>
      <c r="Y87" s="817"/>
      <c r="AC87" s="817"/>
      <c r="AG87" s="817"/>
      <c r="AL87" s="817"/>
      <c r="AP87" s="817"/>
      <c r="AU87" s="817"/>
      <c r="AY87" s="817"/>
      <c r="BC87" s="817"/>
      <c r="BG87" s="817"/>
      <c r="BL87" s="817"/>
      <c r="BP87" s="817"/>
      <c r="BT87" s="817"/>
    </row>
    <row r="88" spans="2:72" ht="19.899999999999999" customHeight="1" x14ac:dyDescent="0.25">
      <c r="B88" s="872"/>
      <c r="C88" s="873"/>
      <c r="G88" s="817"/>
      <c r="L88" s="817"/>
      <c r="P88" s="817"/>
      <c r="T88" s="817"/>
      <c r="Y88" s="817"/>
      <c r="AC88" s="817"/>
      <c r="AG88" s="817"/>
      <c r="AL88" s="817"/>
      <c r="AP88" s="817"/>
      <c r="AU88" s="817"/>
      <c r="AY88" s="817"/>
      <c r="BC88" s="817"/>
      <c r="BG88" s="817"/>
      <c r="BL88" s="817"/>
      <c r="BP88" s="817"/>
      <c r="BT88" s="817"/>
    </row>
    <row r="89" spans="2:72" ht="19.899999999999999" customHeight="1" x14ac:dyDescent="0.25">
      <c r="B89" s="872"/>
      <c r="C89" s="873"/>
      <c r="G89" s="817"/>
      <c r="L89" s="817"/>
      <c r="P89" s="817"/>
      <c r="T89" s="817"/>
      <c r="Y89" s="817"/>
      <c r="AC89" s="817"/>
      <c r="AG89" s="817"/>
      <c r="AL89" s="817"/>
      <c r="AP89" s="817"/>
      <c r="AU89" s="817"/>
      <c r="AY89" s="817"/>
      <c r="BC89" s="817"/>
      <c r="BG89" s="817"/>
      <c r="BL89" s="817"/>
      <c r="BP89" s="817"/>
      <c r="BT89" s="817"/>
    </row>
    <row r="90" spans="2:72" ht="19.899999999999999" customHeight="1" x14ac:dyDescent="0.25">
      <c r="B90" s="872"/>
      <c r="C90" s="873"/>
      <c r="G90" s="817"/>
      <c r="L90" s="817"/>
      <c r="P90" s="817"/>
      <c r="T90" s="817"/>
      <c r="Y90" s="817"/>
      <c r="AC90" s="817"/>
      <c r="AG90" s="817"/>
      <c r="AL90" s="817"/>
      <c r="AP90" s="817"/>
      <c r="AU90" s="817"/>
      <c r="AY90" s="817"/>
      <c r="BC90" s="817"/>
      <c r="BG90" s="817"/>
      <c r="BL90" s="817"/>
      <c r="BP90" s="817"/>
      <c r="BT90" s="817"/>
    </row>
    <row r="91" spans="2:72" ht="19.899999999999999" customHeight="1" x14ac:dyDescent="0.25">
      <c r="B91" s="872"/>
      <c r="C91" s="873"/>
      <c r="G91" s="817"/>
      <c r="L91" s="817"/>
      <c r="P91" s="817"/>
      <c r="T91" s="817"/>
      <c r="Y91" s="817"/>
      <c r="AC91" s="817"/>
      <c r="AG91" s="817"/>
      <c r="AL91" s="817"/>
      <c r="AP91" s="817"/>
      <c r="AU91" s="817"/>
      <c r="AY91" s="817"/>
      <c r="BC91" s="817"/>
      <c r="BG91" s="817"/>
      <c r="BL91" s="817"/>
      <c r="BP91" s="817"/>
      <c r="BT91" s="817"/>
    </row>
    <row r="92" spans="2:72" ht="19.899999999999999" customHeight="1" x14ac:dyDescent="0.25">
      <c r="B92" s="872"/>
      <c r="C92" s="873"/>
      <c r="G92" s="817"/>
      <c r="L92" s="817"/>
      <c r="P92" s="817"/>
      <c r="T92" s="817"/>
      <c r="Y92" s="817"/>
      <c r="AC92" s="817"/>
      <c r="AG92" s="817"/>
      <c r="AL92" s="817"/>
      <c r="AP92" s="817"/>
      <c r="AU92" s="817"/>
      <c r="AY92" s="817"/>
      <c r="BC92" s="817"/>
      <c r="BG92" s="817"/>
      <c r="BL92" s="817"/>
      <c r="BP92" s="817"/>
      <c r="BT92" s="817"/>
    </row>
    <row r="93" spans="2:72" ht="19.899999999999999" customHeight="1" x14ac:dyDescent="0.25">
      <c r="B93" s="872"/>
      <c r="C93" s="873"/>
      <c r="G93" s="817"/>
      <c r="L93" s="817"/>
      <c r="P93" s="817"/>
      <c r="T93" s="817"/>
      <c r="Y93" s="817"/>
      <c r="AC93" s="817"/>
      <c r="AG93" s="817"/>
      <c r="AL93" s="817"/>
      <c r="AP93" s="817"/>
      <c r="AU93" s="817"/>
      <c r="AY93" s="817"/>
      <c r="BC93" s="817"/>
      <c r="BG93" s="817"/>
      <c r="BL93" s="817"/>
      <c r="BP93" s="817"/>
      <c r="BT93" s="817"/>
    </row>
    <row r="94" spans="2:72" ht="19.899999999999999" customHeight="1" x14ac:dyDescent="0.25">
      <c r="B94" s="872"/>
      <c r="C94" s="873"/>
      <c r="G94" s="817"/>
      <c r="L94" s="817"/>
      <c r="P94" s="817"/>
      <c r="T94" s="817"/>
      <c r="Y94" s="817"/>
      <c r="AC94" s="817"/>
      <c r="AG94" s="817"/>
      <c r="AL94" s="817"/>
      <c r="AP94" s="817"/>
      <c r="AU94" s="817"/>
      <c r="AY94" s="817"/>
      <c r="BC94" s="817"/>
      <c r="BG94" s="817"/>
      <c r="BL94" s="817"/>
      <c r="BP94" s="817"/>
      <c r="BT94" s="817"/>
    </row>
    <row r="95" spans="2:72" ht="19.899999999999999" customHeight="1" x14ac:dyDescent="0.25">
      <c r="B95" s="872"/>
      <c r="C95" s="873"/>
      <c r="G95" s="817"/>
      <c r="L95" s="817"/>
      <c r="P95" s="817"/>
      <c r="T95" s="817"/>
      <c r="Y95" s="817"/>
      <c r="AC95" s="817"/>
      <c r="AG95" s="817"/>
      <c r="AL95" s="817"/>
      <c r="AP95" s="817"/>
      <c r="AU95" s="817"/>
      <c r="AY95" s="817"/>
      <c r="BC95" s="817"/>
      <c r="BG95" s="817"/>
      <c r="BL95" s="817"/>
      <c r="BP95" s="817"/>
      <c r="BT95" s="817"/>
    </row>
    <row r="96" spans="2:72" ht="19.899999999999999" customHeight="1" x14ac:dyDescent="0.25">
      <c r="B96" s="872"/>
      <c r="C96" s="873"/>
      <c r="G96" s="817"/>
      <c r="L96" s="817"/>
      <c r="P96" s="817"/>
      <c r="T96" s="817"/>
      <c r="Y96" s="817"/>
      <c r="AC96" s="817"/>
      <c r="AG96" s="817"/>
      <c r="AL96" s="817"/>
      <c r="AP96" s="817"/>
      <c r="AU96" s="817"/>
      <c r="AY96" s="817"/>
      <c r="BC96" s="817"/>
      <c r="BG96" s="817"/>
      <c r="BL96" s="817"/>
      <c r="BP96" s="817"/>
      <c r="BT96" s="817"/>
    </row>
    <row r="97" spans="2:72" ht="19.899999999999999" customHeight="1" x14ac:dyDescent="0.25">
      <c r="B97" s="872"/>
      <c r="C97" s="873"/>
      <c r="G97" s="817"/>
      <c r="L97" s="817"/>
      <c r="P97" s="817"/>
      <c r="T97" s="817"/>
      <c r="Y97" s="817"/>
      <c r="AC97" s="817"/>
      <c r="AG97" s="817"/>
      <c r="AL97" s="817"/>
      <c r="AP97" s="817"/>
      <c r="AU97" s="817"/>
      <c r="AY97" s="817"/>
      <c r="BC97" s="817"/>
      <c r="BG97" s="817"/>
      <c r="BL97" s="817"/>
      <c r="BP97" s="817"/>
      <c r="BT97" s="817"/>
    </row>
    <row r="98" spans="2:72" ht="19.899999999999999" customHeight="1" x14ac:dyDescent="0.25">
      <c r="B98" s="872"/>
      <c r="C98" s="873"/>
      <c r="G98" s="817"/>
      <c r="L98" s="817"/>
      <c r="P98" s="817"/>
      <c r="T98" s="817"/>
      <c r="Y98" s="817"/>
      <c r="AC98" s="817"/>
      <c r="AG98" s="817"/>
      <c r="AL98" s="817"/>
      <c r="AP98" s="817"/>
      <c r="AU98" s="817"/>
      <c r="AY98" s="817"/>
      <c r="BC98" s="817"/>
      <c r="BG98" s="817"/>
      <c r="BL98" s="817"/>
      <c r="BP98" s="817"/>
      <c r="BT98" s="817"/>
    </row>
    <row r="99" spans="2:72" ht="19.899999999999999" customHeight="1" x14ac:dyDescent="0.25">
      <c r="B99" s="872"/>
      <c r="C99" s="873"/>
      <c r="G99" s="817"/>
      <c r="L99" s="817"/>
      <c r="P99" s="817"/>
      <c r="T99" s="817"/>
      <c r="Y99" s="817"/>
      <c r="AC99" s="817"/>
      <c r="AG99" s="817"/>
      <c r="AL99" s="817"/>
      <c r="AP99" s="817"/>
      <c r="AU99" s="817"/>
      <c r="AY99" s="817"/>
      <c r="BC99" s="817"/>
      <c r="BG99" s="817"/>
      <c r="BL99" s="817"/>
      <c r="BP99" s="817"/>
      <c r="BT99" s="817"/>
    </row>
    <row r="100" spans="2:72" ht="19.899999999999999" customHeight="1" x14ac:dyDescent="0.25">
      <c r="B100" s="872"/>
      <c r="C100" s="873"/>
      <c r="AY100" s="817"/>
      <c r="BC100" s="817"/>
    </row>
    <row r="101" spans="2:72" ht="19.899999999999999" customHeight="1" x14ac:dyDescent="0.25">
      <c r="B101" s="872"/>
      <c r="C101" s="873"/>
      <c r="AY101" s="817"/>
      <c r="BC101" s="817"/>
    </row>
    <row r="102" spans="2:72" ht="19.899999999999999" customHeight="1" x14ac:dyDescent="0.25">
      <c r="B102" s="872"/>
      <c r="C102" s="873"/>
    </row>
    <row r="103" spans="2:72" ht="19.899999999999999" customHeight="1" x14ac:dyDescent="0.25">
      <c r="B103" s="872"/>
      <c r="C103" s="873"/>
    </row>
    <row r="104" spans="2:72" ht="19.899999999999999" customHeight="1" x14ac:dyDescent="0.25">
      <c r="B104" s="872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S35"/>
  <sheetViews>
    <sheetView zoomScale="80" zoomScaleNormal="80" workbookViewId="0">
      <selection activeCell="I4" sqref="I4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890" customWidth="1"/>
    <col min="5" max="5" width="25.5703125" style="625" customWidth="1"/>
    <col min="6" max="6" width="2.5703125" customWidth="1"/>
    <col min="7" max="7" width="24.5703125" customWidth="1"/>
    <col min="9" max="9" width="16" customWidth="1"/>
    <col min="10" max="10" width="30" style="625" customWidth="1"/>
    <col min="11" max="11" width="3.85546875" customWidth="1"/>
    <col min="12" max="12" width="27.5703125" customWidth="1"/>
    <col min="13" max="13" width="12.140625" customWidth="1"/>
    <col min="14" max="14" width="15.85546875" style="625" customWidth="1"/>
    <col min="15" max="15" width="15" style="625" customWidth="1"/>
    <col min="18" max="18" width="26" customWidth="1"/>
    <col min="19" max="19" width="13.85546875" style="625" bestFit="1" customWidth="1"/>
  </cols>
  <sheetData>
    <row r="2" spans="2:19" ht="19.5" x14ac:dyDescent="0.25">
      <c r="B2" s="1329" t="s">
        <v>498</v>
      </c>
      <c r="C2" s="1329"/>
      <c r="D2" s="1329"/>
      <c r="E2" s="1329"/>
      <c r="F2" s="894"/>
      <c r="G2" s="1308" t="s">
        <v>515</v>
      </c>
      <c r="H2" s="1309"/>
      <c r="I2" s="1309"/>
      <c r="J2" s="1310"/>
      <c r="K2" s="894"/>
      <c r="L2" s="1308" t="s">
        <v>570</v>
      </c>
      <c r="M2" s="1309"/>
      <c r="N2" s="1309"/>
      <c r="O2" s="1310"/>
      <c r="R2" s="1329" t="s">
        <v>580</v>
      </c>
      <c r="S2" s="1329"/>
    </row>
    <row r="3" spans="2:19" s="748" customFormat="1" ht="30.75" customHeight="1" x14ac:dyDescent="0.25">
      <c r="B3" s="899" t="s">
        <v>497</v>
      </c>
      <c r="C3" s="900" t="s">
        <v>500</v>
      </c>
      <c r="D3" s="901" t="s">
        <v>501</v>
      </c>
      <c r="E3" s="902" t="s">
        <v>579</v>
      </c>
      <c r="F3" s="903"/>
      <c r="G3" s="900" t="s">
        <v>497</v>
      </c>
      <c r="H3" s="900" t="s">
        <v>500</v>
      </c>
      <c r="I3" s="900" t="s">
        <v>501</v>
      </c>
      <c r="J3" s="902" t="s">
        <v>502</v>
      </c>
      <c r="K3" s="903"/>
      <c r="L3" s="900" t="s">
        <v>497</v>
      </c>
      <c r="M3" s="900" t="s">
        <v>500</v>
      </c>
      <c r="N3" s="902" t="s">
        <v>501</v>
      </c>
      <c r="O3" s="902" t="s">
        <v>502</v>
      </c>
      <c r="R3" s="900" t="s">
        <v>581</v>
      </c>
      <c r="S3" s="902" t="s">
        <v>582</v>
      </c>
    </row>
    <row r="4" spans="2:19" s="748" customFormat="1" ht="35.1" customHeight="1" x14ac:dyDescent="0.25">
      <c r="B4" s="898" t="s">
        <v>503</v>
      </c>
      <c r="C4" s="185">
        <v>2</v>
      </c>
      <c r="D4" s="888">
        <v>2500</v>
      </c>
      <c r="E4" s="891">
        <f t="shared" ref="E4:E5" si="0">D4*C4</f>
        <v>5000</v>
      </c>
      <c r="G4" s="185" t="s">
        <v>558</v>
      </c>
      <c r="H4" s="185">
        <v>30000</v>
      </c>
      <c r="I4" s="185">
        <v>0.45</v>
      </c>
      <c r="J4" s="891">
        <f>H4*I4</f>
        <v>13500</v>
      </c>
      <c r="L4" s="156" t="s">
        <v>562</v>
      </c>
      <c r="M4" s="185">
        <v>12</v>
      </c>
      <c r="N4" s="895">
        <v>120</v>
      </c>
      <c r="O4" s="891">
        <f>M4*N4</f>
        <v>1440</v>
      </c>
      <c r="R4" s="3" t="s">
        <v>583</v>
      </c>
      <c r="S4" s="905">
        <v>30000</v>
      </c>
    </row>
    <row r="5" spans="2:19" s="748" customFormat="1" ht="35.1" customHeight="1" x14ac:dyDescent="0.25">
      <c r="B5" s="749" t="s">
        <v>564</v>
      </c>
      <c r="C5" s="156">
        <v>1</v>
      </c>
      <c r="D5" s="889">
        <v>2000</v>
      </c>
      <c r="E5" s="892">
        <f t="shared" si="0"/>
        <v>2000</v>
      </c>
      <c r="G5" s="156" t="s">
        <v>563</v>
      </c>
      <c r="H5" s="156">
        <v>1</v>
      </c>
      <c r="I5" s="156">
        <v>2000</v>
      </c>
      <c r="J5" s="892">
        <f t="shared" ref="J5:J11" si="1">H5*I5</f>
        <v>2000</v>
      </c>
      <c r="L5" s="156" t="s">
        <v>557</v>
      </c>
      <c r="M5" s="156">
        <v>12</v>
      </c>
      <c r="N5" s="896">
        <v>80</v>
      </c>
      <c r="O5" s="892">
        <f t="shared" ref="O5:O16" si="2">M5*N5</f>
        <v>960</v>
      </c>
      <c r="R5" s="3" t="s">
        <v>584</v>
      </c>
      <c r="S5" s="905">
        <f>S4</f>
        <v>30000</v>
      </c>
    </row>
    <row r="6" spans="2:19" s="748" customFormat="1" ht="35.1" customHeight="1" x14ac:dyDescent="0.25">
      <c r="B6" s="749" t="s">
        <v>509</v>
      </c>
      <c r="C6" s="156">
        <v>1</v>
      </c>
      <c r="D6" s="889">
        <v>5000</v>
      </c>
      <c r="E6" s="892">
        <f t="shared" ref="E6:E21" si="3">D6*C6</f>
        <v>5000</v>
      </c>
      <c r="G6" s="156" t="s">
        <v>556</v>
      </c>
      <c r="H6" s="156">
        <v>12</v>
      </c>
      <c r="I6" s="156">
        <v>100</v>
      </c>
      <c r="J6" s="892">
        <f t="shared" si="1"/>
        <v>1200</v>
      </c>
      <c r="L6" s="156" t="s">
        <v>518</v>
      </c>
      <c r="M6" s="156">
        <v>12</v>
      </c>
      <c r="N6" s="896">
        <v>100</v>
      </c>
      <c r="O6" s="892">
        <f t="shared" si="2"/>
        <v>1200</v>
      </c>
      <c r="R6" s="897" t="s">
        <v>468</v>
      </c>
      <c r="S6" s="906">
        <f>SUM(S4:S5)</f>
        <v>60000</v>
      </c>
    </row>
    <row r="7" spans="2:19" s="748" customFormat="1" ht="35.1" customHeight="1" x14ac:dyDescent="0.25">
      <c r="B7" s="749" t="s">
        <v>565</v>
      </c>
      <c r="C7" s="156">
        <v>1</v>
      </c>
      <c r="D7" s="889">
        <v>75000</v>
      </c>
      <c r="E7" s="892">
        <f t="shared" si="3"/>
        <v>75000</v>
      </c>
      <c r="G7" s="749" t="s">
        <v>568</v>
      </c>
      <c r="H7" s="156">
        <v>1</v>
      </c>
      <c r="I7" s="156">
        <v>1000</v>
      </c>
      <c r="J7" s="892">
        <v>1500</v>
      </c>
      <c r="L7" s="156" t="s">
        <v>519</v>
      </c>
      <c r="M7" s="156">
        <v>12</v>
      </c>
      <c r="N7" s="896">
        <v>50</v>
      </c>
      <c r="O7" s="892">
        <f t="shared" si="2"/>
        <v>600</v>
      </c>
      <c r="S7" s="893"/>
    </row>
    <row r="8" spans="2:19" s="748" customFormat="1" ht="35.1" customHeight="1" x14ac:dyDescent="0.25">
      <c r="B8" s="749" t="s">
        <v>507</v>
      </c>
      <c r="C8" s="156">
        <v>1</v>
      </c>
      <c r="D8" s="889">
        <v>5000</v>
      </c>
      <c r="E8" s="892">
        <f t="shared" si="3"/>
        <v>5000</v>
      </c>
      <c r="G8" s="156" t="s">
        <v>516</v>
      </c>
      <c r="H8" s="156">
        <v>1</v>
      </c>
      <c r="I8" s="156">
        <v>200</v>
      </c>
      <c r="J8" s="892">
        <f t="shared" si="1"/>
        <v>200</v>
      </c>
      <c r="L8" s="749" t="s">
        <v>571</v>
      </c>
      <c r="M8" s="156">
        <v>12</v>
      </c>
      <c r="N8" s="896">
        <v>30</v>
      </c>
      <c r="O8" s="892">
        <f t="shared" si="2"/>
        <v>360</v>
      </c>
      <c r="R8" s="897" t="s">
        <v>585</v>
      </c>
      <c r="S8" s="906">
        <f>E22-S6</f>
        <v>140000</v>
      </c>
    </row>
    <row r="9" spans="2:19" s="748" customFormat="1" ht="35.1" customHeight="1" x14ac:dyDescent="0.25">
      <c r="B9" s="749" t="s">
        <v>489</v>
      </c>
      <c r="C9" s="156">
        <v>1</v>
      </c>
      <c r="D9" s="889">
        <v>3000</v>
      </c>
      <c r="E9" s="892">
        <f t="shared" si="3"/>
        <v>3000</v>
      </c>
      <c r="G9" s="156" t="s">
        <v>517</v>
      </c>
      <c r="H9" s="156">
        <v>1</v>
      </c>
      <c r="I9" s="156">
        <v>400</v>
      </c>
      <c r="J9" s="892">
        <f t="shared" si="1"/>
        <v>400</v>
      </c>
      <c r="L9" s="749" t="s">
        <v>572</v>
      </c>
      <c r="M9" s="156">
        <v>12</v>
      </c>
      <c r="N9" s="896">
        <v>100</v>
      </c>
      <c r="O9" s="892">
        <f t="shared" si="2"/>
        <v>1200</v>
      </c>
      <c r="S9" s="893"/>
    </row>
    <row r="10" spans="2:19" s="748" customFormat="1" ht="35.1" customHeight="1" x14ac:dyDescent="0.25">
      <c r="B10" s="749" t="s">
        <v>575</v>
      </c>
      <c r="C10" s="156">
        <v>1</v>
      </c>
      <c r="D10" s="889">
        <v>25000</v>
      </c>
      <c r="E10" s="892">
        <f t="shared" si="3"/>
        <v>25000</v>
      </c>
      <c r="G10" s="749" t="s">
        <v>559</v>
      </c>
      <c r="H10" s="156">
        <v>1</v>
      </c>
      <c r="I10" s="156">
        <v>1000</v>
      </c>
      <c r="J10" s="892">
        <v>1500</v>
      </c>
      <c r="L10" s="156" t="s">
        <v>520</v>
      </c>
      <c r="M10" s="156">
        <v>12</v>
      </c>
      <c r="N10" s="896">
        <v>15</v>
      </c>
      <c r="O10" s="892">
        <f t="shared" si="2"/>
        <v>180</v>
      </c>
      <c r="R10" s="897" t="s">
        <v>597</v>
      </c>
      <c r="S10" s="906">
        <f>S8*1.2</f>
        <v>168000</v>
      </c>
    </row>
    <row r="11" spans="2:19" s="748" customFormat="1" ht="35.1" customHeight="1" x14ac:dyDescent="0.25">
      <c r="B11" s="749" t="s">
        <v>506</v>
      </c>
      <c r="C11" s="156">
        <v>1</v>
      </c>
      <c r="D11" s="889">
        <v>6000</v>
      </c>
      <c r="E11" s="892">
        <f t="shared" si="3"/>
        <v>6000</v>
      </c>
      <c r="G11" s="749" t="s">
        <v>569</v>
      </c>
      <c r="H11" s="156">
        <v>280</v>
      </c>
      <c r="I11" s="156">
        <v>14</v>
      </c>
      <c r="J11" s="892">
        <f t="shared" si="1"/>
        <v>3920</v>
      </c>
      <c r="L11" s="156" t="s">
        <v>521</v>
      </c>
      <c r="M11" s="156">
        <v>12</v>
      </c>
      <c r="N11" s="896">
        <v>100</v>
      </c>
      <c r="O11" s="892">
        <f t="shared" si="2"/>
        <v>1200</v>
      </c>
      <c r="S11" s="893"/>
    </row>
    <row r="12" spans="2:19" s="748" customFormat="1" ht="35.1" customHeight="1" x14ac:dyDescent="0.25">
      <c r="B12" s="749" t="s">
        <v>490</v>
      </c>
      <c r="C12" s="156">
        <v>1</v>
      </c>
      <c r="D12" s="889">
        <v>8000</v>
      </c>
      <c r="E12" s="892">
        <f t="shared" si="3"/>
        <v>8000</v>
      </c>
      <c r="G12" s="156"/>
      <c r="H12" s="156"/>
      <c r="I12" s="156"/>
      <c r="J12" s="892"/>
      <c r="L12" s="156" t="s">
        <v>522</v>
      </c>
      <c r="M12" s="156">
        <v>12</v>
      </c>
      <c r="N12" s="896"/>
      <c r="O12" s="892">
        <f t="shared" si="2"/>
        <v>0</v>
      </c>
      <c r="R12" s="897" t="s">
        <v>586</v>
      </c>
      <c r="S12" s="906">
        <f>S10/10</f>
        <v>16800</v>
      </c>
    </row>
    <row r="13" spans="2:19" s="748" customFormat="1" ht="35.1" customHeight="1" x14ac:dyDescent="0.25">
      <c r="B13" s="749" t="s">
        <v>504</v>
      </c>
      <c r="C13" s="156">
        <v>10</v>
      </c>
      <c r="D13" s="889">
        <v>1000</v>
      </c>
      <c r="E13" s="892">
        <f t="shared" si="3"/>
        <v>10000</v>
      </c>
      <c r="G13" s="156"/>
      <c r="H13" s="156"/>
      <c r="I13" s="156"/>
      <c r="J13" s="892"/>
      <c r="L13" s="156" t="s">
        <v>560</v>
      </c>
      <c r="M13" s="156">
        <v>12</v>
      </c>
      <c r="N13" s="896">
        <v>120</v>
      </c>
      <c r="O13" s="892">
        <f t="shared" si="2"/>
        <v>1440</v>
      </c>
      <c r="S13" s="893"/>
    </row>
    <row r="14" spans="2:19" s="748" customFormat="1" ht="35.1" customHeight="1" x14ac:dyDescent="0.25">
      <c r="B14" s="749" t="s">
        <v>499</v>
      </c>
      <c r="C14" s="156">
        <v>8</v>
      </c>
      <c r="D14" s="889">
        <v>5000</v>
      </c>
      <c r="E14" s="892">
        <f t="shared" si="3"/>
        <v>40000</v>
      </c>
      <c r="G14" s="156"/>
      <c r="H14" s="156"/>
      <c r="I14" s="156"/>
      <c r="J14" s="892"/>
      <c r="L14" s="156" t="s">
        <v>573</v>
      </c>
      <c r="M14" s="156">
        <v>12</v>
      </c>
      <c r="N14" s="896">
        <v>200</v>
      </c>
      <c r="O14" s="892">
        <f t="shared" si="2"/>
        <v>2400</v>
      </c>
      <c r="R14" s="897" t="s">
        <v>590</v>
      </c>
      <c r="S14" s="906">
        <v>87000</v>
      </c>
    </row>
    <row r="15" spans="2:19" s="748" customFormat="1" ht="35.1" customHeight="1" x14ac:dyDescent="0.25">
      <c r="B15" s="749" t="s">
        <v>455</v>
      </c>
      <c r="C15" s="156">
        <v>1</v>
      </c>
      <c r="D15" s="889">
        <v>10000</v>
      </c>
      <c r="E15" s="892">
        <f t="shared" si="3"/>
        <v>10000</v>
      </c>
      <c r="G15" s="156"/>
      <c r="H15" s="156"/>
      <c r="I15" s="156"/>
      <c r="J15" s="892"/>
      <c r="L15" s="156" t="s">
        <v>561</v>
      </c>
      <c r="M15" s="156">
        <v>1</v>
      </c>
      <c r="N15" s="896">
        <v>500</v>
      </c>
      <c r="O15" s="892">
        <f t="shared" si="2"/>
        <v>500</v>
      </c>
      <c r="R15" s="897" t="s">
        <v>591</v>
      </c>
      <c r="S15" s="906">
        <f>J22+O22</f>
        <v>36000</v>
      </c>
    </row>
    <row r="16" spans="2:19" s="748" customFormat="1" ht="35.1" customHeight="1" x14ac:dyDescent="0.25">
      <c r="B16" s="749" t="s">
        <v>577</v>
      </c>
      <c r="C16" s="156">
        <v>2000</v>
      </c>
      <c r="D16" s="889">
        <v>1</v>
      </c>
      <c r="E16" s="892">
        <f t="shared" si="3"/>
        <v>2000</v>
      </c>
      <c r="G16" s="156"/>
      <c r="H16" s="156"/>
      <c r="I16" s="156"/>
      <c r="J16" s="892"/>
      <c r="L16" s="156" t="s">
        <v>574</v>
      </c>
      <c r="M16" s="156">
        <v>1</v>
      </c>
      <c r="N16" s="896">
        <v>300</v>
      </c>
      <c r="O16" s="892">
        <f t="shared" si="2"/>
        <v>300</v>
      </c>
      <c r="R16" s="897" t="s">
        <v>593</v>
      </c>
      <c r="S16" s="906">
        <f>S14-S15</f>
        <v>51000</v>
      </c>
    </row>
    <row r="17" spans="2:19" s="748" customFormat="1" ht="35.1" customHeight="1" x14ac:dyDescent="0.25">
      <c r="B17" s="749" t="s">
        <v>508</v>
      </c>
      <c r="C17" s="156">
        <v>50</v>
      </c>
      <c r="D17" s="889">
        <v>10</v>
      </c>
      <c r="E17" s="892">
        <f t="shared" si="3"/>
        <v>500</v>
      </c>
      <c r="G17" s="156"/>
      <c r="H17" s="156"/>
      <c r="I17" s="156"/>
      <c r="J17" s="892"/>
      <c r="L17" s="887"/>
      <c r="M17" s="156"/>
      <c r="N17" s="896"/>
      <c r="O17" s="892"/>
      <c r="R17" s="897" t="s">
        <v>630</v>
      </c>
      <c r="S17" s="1343">
        <f>S16/S14</f>
        <v>0.58620689655172409</v>
      </c>
    </row>
    <row r="18" spans="2:19" s="748" customFormat="1" ht="35.1" customHeight="1" x14ac:dyDescent="0.25">
      <c r="B18" s="749" t="s">
        <v>510</v>
      </c>
      <c r="C18" s="156">
        <v>4</v>
      </c>
      <c r="D18" s="889">
        <v>100</v>
      </c>
      <c r="E18" s="892">
        <f t="shared" si="3"/>
        <v>400</v>
      </c>
      <c r="G18" s="156"/>
      <c r="H18" s="156"/>
      <c r="I18" s="156"/>
      <c r="J18" s="892"/>
      <c r="L18" s="156"/>
      <c r="M18" s="156"/>
      <c r="N18" s="896"/>
      <c r="O18" s="892"/>
      <c r="S18" s="893"/>
    </row>
    <row r="19" spans="2:19" s="748" customFormat="1" ht="35.1" customHeight="1" x14ac:dyDescent="0.25">
      <c r="B19" s="749" t="s">
        <v>505</v>
      </c>
      <c r="C19" s="156">
        <v>50</v>
      </c>
      <c r="D19" s="889">
        <v>15</v>
      </c>
      <c r="E19" s="892">
        <f t="shared" si="3"/>
        <v>750</v>
      </c>
      <c r="G19" s="156"/>
      <c r="H19" s="156"/>
      <c r="I19" s="156"/>
      <c r="J19" s="892"/>
      <c r="L19" s="156"/>
      <c r="M19" s="156"/>
      <c r="N19" s="896"/>
      <c r="O19" s="892"/>
      <c r="R19" s="897" t="s">
        <v>592</v>
      </c>
      <c r="S19" s="906">
        <f>S12</f>
        <v>16800</v>
      </c>
    </row>
    <row r="20" spans="2:19" s="748" customFormat="1" ht="35.1" customHeight="1" x14ac:dyDescent="0.25">
      <c r="B20" s="749" t="s">
        <v>566</v>
      </c>
      <c r="C20" s="156">
        <v>2000</v>
      </c>
      <c r="D20" s="889">
        <v>0.15</v>
      </c>
      <c r="E20" s="892">
        <f t="shared" si="3"/>
        <v>300</v>
      </c>
      <c r="G20" s="156"/>
      <c r="H20" s="156"/>
      <c r="I20" s="156"/>
      <c r="J20" s="892"/>
      <c r="L20" s="156"/>
      <c r="M20" s="156"/>
      <c r="N20" s="896"/>
      <c r="O20" s="892"/>
      <c r="R20" s="897" t="s">
        <v>594</v>
      </c>
      <c r="S20" s="906">
        <f>5/100*S14</f>
        <v>4350</v>
      </c>
    </row>
    <row r="21" spans="2:19" s="748" customFormat="1" ht="35.1" customHeight="1" x14ac:dyDescent="0.25">
      <c r="B21" s="749" t="s">
        <v>578</v>
      </c>
      <c r="C21" s="156">
        <v>1</v>
      </c>
      <c r="D21" s="889">
        <v>2050</v>
      </c>
      <c r="E21" s="892">
        <f t="shared" si="3"/>
        <v>2050</v>
      </c>
      <c r="G21" s="156"/>
      <c r="H21" s="156"/>
      <c r="I21" s="156"/>
      <c r="J21" s="892"/>
      <c r="L21" s="156"/>
      <c r="M21" s="156"/>
      <c r="N21" s="896"/>
      <c r="O21" s="892"/>
      <c r="R21" s="897" t="s">
        <v>595</v>
      </c>
      <c r="S21" s="906">
        <f>S16-S19-S20</f>
        <v>29850</v>
      </c>
    </row>
    <row r="22" spans="2:19" s="748" customFormat="1" ht="35.1" customHeight="1" x14ac:dyDescent="0.25">
      <c r="B22" s="1209" t="s">
        <v>468</v>
      </c>
      <c r="C22" s="1209"/>
      <c r="D22" s="1209"/>
      <c r="E22" s="904">
        <f>SUM(E4:E21)</f>
        <v>200000</v>
      </c>
      <c r="G22" s="1209" t="s">
        <v>468</v>
      </c>
      <c r="H22" s="1209"/>
      <c r="I22" s="1209"/>
      <c r="J22" s="904">
        <f>SUM(J4:J21)</f>
        <v>24220</v>
      </c>
      <c r="L22" s="1209" t="s">
        <v>468</v>
      </c>
      <c r="M22" s="1209"/>
      <c r="N22" s="1209"/>
      <c r="O22" s="904">
        <f>SUM(O4:O21)</f>
        <v>11780</v>
      </c>
      <c r="R22" s="897" t="s">
        <v>596</v>
      </c>
      <c r="S22" s="906">
        <f>S21/2/12</f>
        <v>1243.75</v>
      </c>
    </row>
    <row r="23" spans="2:19" s="748" customFormat="1" ht="20.100000000000001" customHeight="1" x14ac:dyDescent="0.25">
      <c r="B23" s="40"/>
      <c r="C23" s="29"/>
      <c r="D23" s="890"/>
      <c r="E23" s="893"/>
      <c r="J23" s="893"/>
      <c r="N23" s="893"/>
      <c r="O23" s="893"/>
      <c r="S23" s="893"/>
    </row>
    <row r="24" spans="2:19" s="748" customFormat="1" ht="20.100000000000001" customHeight="1" x14ac:dyDescent="0.25">
      <c r="B24" s="40"/>
      <c r="C24" s="29"/>
      <c r="D24" s="890"/>
      <c r="E24" s="893"/>
      <c r="J24" s="893"/>
      <c r="N24" s="893"/>
      <c r="O24" s="893"/>
      <c r="S24" s="893"/>
    </row>
    <row r="25" spans="2:19" s="748" customFormat="1" ht="20.100000000000001" customHeight="1" x14ac:dyDescent="0.25">
      <c r="B25" s="40"/>
      <c r="C25" s="29"/>
      <c r="D25" s="890"/>
      <c r="E25" s="893"/>
      <c r="J25" s="893"/>
      <c r="N25" s="893"/>
      <c r="O25" s="893"/>
      <c r="S25" s="893"/>
    </row>
    <row r="26" spans="2:19" s="748" customFormat="1" ht="20.100000000000001" customHeight="1" x14ac:dyDescent="0.25">
      <c r="B26" s="40"/>
      <c r="C26" s="29"/>
      <c r="D26" s="890"/>
      <c r="E26" s="893"/>
      <c r="J26" s="893"/>
      <c r="N26" s="893"/>
      <c r="O26" s="893"/>
      <c r="S26" s="893"/>
    </row>
    <row r="27" spans="2:19" x14ac:dyDescent="0.25">
      <c r="D27" s="1344" t="s">
        <v>631</v>
      </c>
      <c r="E27" s="1344"/>
      <c r="F27" s="1344"/>
      <c r="G27" s="1344"/>
      <c r="J27"/>
      <c r="R27" s="748"/>
      <c r="S27" s="893"/>
    </row>
    <row r="28" spans="2:19" ht="39.950000000000003" customHeight="1" x14ac:dyDescent="0.25">
      <c r="D28" s="897" t="s">
        <v>632</v>
      </c>
      <c r="E28" s="1345" t="s">
        <v>633</v>
      </c>
      <c r="F28" s="1345"/>
      <c r="G28" s="897" t="s">
        <v>582</v>
      </c>
      <c r="J28"/>
      <c r="R28" s="748"/>
      <c r="S28" s="893"/>
    </row>
    <row r="29" spans="2:19" ht="39.950000000000003" customHeight="1" x14ac:dyDescent="0.25">
      <c r="D29" s="898" t="s">
        <v>634</v>
      </c>
      <c r="E29" s="1347" t="s">
        <v>645</v>
      </c>
      <c r="F29" s="1348"/>
      <c r="G29" s="1353">
        <v>200</v>
      </c>
      <c r="J29"/>
      <c r="R29" s="748"/>
      <c r="S29" s="893"/>
    </row>
    <row r="30" spans="2:19" ht="39.950000000000003" customHeight="1" x14ac:dyDescent="0.25">
      <c r="D30" s="749" t="s">
        <v>635</v>
      </c>
      <c r="E30" s="1349" t="s">
        <v>640</v>
      </c>
      <c r="F30" s="1350"/>
      <c r="G30" s="1354">
        <v>3000</v>
      </c>
      <c r="I30" s="1339" t="s">
        <v>647</v>
      </c>
      <c r="J30" s="1356">
        <f>G29+G30+G31+G32</f>
        <v>7920</v>
      </c>
    </row>
    <row r="31" spans="2:19" ht="39.950000000000003" customHeight="1" x14ac:dyDescent="0.25">
      <c r="D31" s="749" t="s">
        <v>636</v>
      </c>
      <c r="E31" s="1349" t="s">
        <v>638</v>
      </c>
      <c r="F31" s="1350"/>
      <c r="G31" s="1354">
        <v>220</v>
      </c>
      <c r="I31" s="1339" t="s">
        <v>648</v>
      </c>
      <c r="J31" s="1335">
        <f>G33</f>
        <v>7000</v>
      </c>
    </row>
    <row r="32" spans="2:19" ht="39.950000000000003" customHeight="1" x14ac:dyDescent="0.25">
      <c r="D32" s="749" t="s">
        <v>637</v>
      </c>
      <c r="E32" s="1349" t="s">
        <v>639</v>
      </c>
      <c r="F32" s="1350"/>
      <c r="G32" s="1354">
        <v>4500</v>
      </c>
      <c r="J32"/>
    </row>
    <row r="33" spans="4:10" ht="39.950000000000003" customHeight="1" x14ac:dyDescent="0.25">
      <c r="D33" s="749" t="s">
        <v>641</v>
      </c>
      <c r="E33" s="1349" t="s">
        <v>646</v>
      </c>
      <c r="F33" s="1350"/>
      <c r="G33" s="1354">
        <v>7000</v>
      </c>
      <c r="J33"/>
    </row>
    <row r="34" spans="4:10" ht="39.950000000000003" customHeight="1" x14ac:dyDescent="0.25">
      <c r="D34" s="749" t="s">
        <v>642</v>
      </c>
      <c r="E34" s="1349" t="s">
        <v>643</v>
      </c>
      <c r="F34" s="1350"/>
      <c r="G34" s="1354"/>
      <c r="J34"/>
    </row>
    <row r="35" spans="4:10" ht="39.950000000000003" customHeight="1" x14ac:dyDescent="0.25">
      <c r="D35" s="1346" t="s">
        <v>644</v>
      </c>
      <c r="E35" s="1351"/>
      <c r="F35" s="1352"/>
      <c r="G35" s="1355"/>
      <c r="J35"/>
    </row>
  </sheetData>
  <mergeCells count="15">
    <mergeCell ref="D27:G27"/>
    <mergeCell ref="E28:F28"/>
    <mergeCell ref="E29:F29"/>
    <mergeCell ref="E31:F31"/>
    <mergeCell ref="E32:F32"/>
    <mergeCell ref="E30:F30"/>
    <mergeCell ref="E33:F33"/>
    <mergeCell ref="E34:F34"/>
    <mergeCell ref="R2:S2"/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M21" sqref="M2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1339" t="s">
        <v>598</v>
      </c>
      <c r="D2" s="1340" t="s">
        <v>599</v>
      </c>
      <c r="E2" s="1341" t="s">
        <v>600</v>
      </c>
      <c r="F2" s="1340" t="s">
        <v>601</v>
      </c>
      <c r="G2" s="1340" t="s">
        <v>602</v>
      </c>
      <c r="H2" s="1340" t="s">
        <v>603</v>
      </c>
      <c r="I2" s="1340" t="s">
        <v>604</v>
      </c>
      <c r="J2" s="1340" t="s">
        <v>605</v>
      </c>
      <c r="K2" s="1340" t="s">
        <v>606</v>
      </c>
      <c r="L2" s="1340" t="s">
        <v>607</v>
      </c>
      <c r="M2" s="1340" t="s">
        <v>608</v>
      </c>
      <c r="N2" s="1340"/>
      <c r="O2" s="1340" t="s">
        <v>609</v>
      </c>
      <c r="R2" s="1340" t="s">
        <v>610</v>
      </c>
    </row>
    <row r="3" spans="2:20" x14ac:dyDescent="0.25">
      <c r="B3" s="1334" t="s">
        <v>611</v>
      </c>
      <c r="C3" s="1335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1335">
        <v>21</v>
      </c>
      <c r="N3" s="1335"/>
      <c r="O3" s="1335">
        <v>50</v>
      </c>
      <c r="P3" s="625"/>
      <c r="Q3" s="625"/>
      <c r="R3" s="1335">
        <f>SUM(C3:O3)</f>
        <v>1690</v>
      </c>
      <c r="S3" s="625"/>
    </row>
    <row r="4" spans="2:20" x14ac:dyDescent="0.25">
      <c r="B4" s="1334" t="s">
        <v>468</v>
      </c>
      <c r="C4" s="1335">
        <f>C3*12</f>
        <v>2400</v>
      </c>
      <c r="D4" s="1335">
        <f t="shared" ref="D4:O4" si="0">D3*12</f>
        <v>960</v>
      </c>
      <c r="E4" s="1335">
        <f t="shared" si="0"/>
        <v>120</v>
      </c>
      <c r="F4" s="1335">
        <f t="shared" si="0"/>
        <v>192</v>
      </c>
      <c r="G4" s="1335">
        <f t="shared" si="0"/>
        <v>1200</v>
      </c>
      <c r="H4" s="1335">
        <f t="shared" si="0"/>
        <v>960</v>
      </c>
      <c r="I4" s="1335">
        <f t="shared" si="0"/>
        <v>1200</v>
      </c>
      <c r="J4" s="1335">
        <f t="shared" si="0"/>
        <v>12180</v>
      </c>
      <c r="K4" s="1335">
        <f t="shared" si="0"/>
        <v>216</v>
      </c>
      <c r="L4" s="1335">
        <f t="shared" si="0"/>
        <v>0</v>
      </c>
      <c r="M4" s="1335">
        <f t="shared" si="0"/>
        <v>252</v>
      </c>
      <c r="N4" s="1335">
        <f t="shared" si="0"/>
        <v>0</v>
      </c>
      <c r="O4" s="1335">
        <f t="shared" si="0"/>
        <v>600</v>
      </c>
      <c r="P4" s="625"/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1339" t="s">
        <v>612</v>
      </c>
      <c r="D6" s="1340" t="s">
        <v>613</v>
      </c>
      <c r="E6" s="1341" t="s">
        <v>614</v>
      </c>
      <c r="F6" s="1340" t="s">
        <v>452</v>
      </c>
      <c r="G6" s="1340" t="s">
        <v>615</v>
      </c>
      <c r="H6" s="1340" t="s">
        <v>616</v>
      </c>
      <c r="I6" s="1340" t="s">
        <v>617</v>
      </c>
      <c r="J6" s="1340" t="s">
        <v>618</v>
      </c>
      <c r="K6" s="1342" t="s">
        <v>619</v>
      </c>
      <c r="L6" s="1340" t="s">
        <v>620</v>
      </c>
      <c r="M6" s="1340" t="s">
        <v>621</v>
      </c>
      <c r="N6" s="1340" t="s">
        <v>622</v>
      </c>
      <c r="O6" s="1340" t="s">
        <v>623</v>
      </c>
      <c r="P6" s="1340" t="s">
        <v>624</v>
      </c>
      <c r="Q6" s="1338"/>
      <c r="R6" s="1340" t="s">
        <v>610</v>
      </c>
    </row>
    <row r="7" spans="2:20" x14ac:dyDescent="0.25">
      <c r="B7" s="1334" t="s">
        <v>611</v>
      </c>
      <c r="C7" s="1335">
        <v>0</v>
      </c>
      <c r="D7" s="1335">
        <v>40</v>
      </c>
      <c r="E7" s="1335">
        <v>10</v>
      </c>
      <c r="F7" s="1335">
        <v>15</v>
      </c>
      <c r="G7" s="1335">
        <v>20</v>
      </c>
      <c r="H7" s="1335">
        <v>100</v>
      </c>
      <c r="I7" s="1335">
        <v>30</v>
      </c>
      <c r="J7" s="1335">
        <v>5</v>
      </c>
      <c r="K7" s="1335">
        <v>80</v>
      </c>
      <c r="L7" s="755">
        <v>20</v>
      </c>
      <c r="M7" s="1335">
        <v>20</v>
      </c>
      <c r="N7" s="1335">
        <v>20</v>
      </c>
      <c r="O7" s="1335">
        <v>0</v>
      </c>
      <c r="P7" s="1335">
        <v>0</v>
      </c>
      <c r="Q7" s="625"/>
      <c r="R7" s="1335">
        <f>SUM(C7:P7)</f>
        <v>360</v>
      </c>
      <c r="S7" s="625"/>
      <c r="T7" s="625"/>
    </row>
    <row r="8" spans="2:20" x14ac:dyDescent="0.25">
      <c r="B8" s="1334" t="s">
        <v>468</v>
      </c>
      <c r="C8" s="1335">
        <f>C7*12</f>
        <v>0</v>
      </c>
      <c r="D8" s="1335">
        <f t="shared" ref="D8:P8" si="1">D7*12</f>
        <v>480</v>
      </c>
      <c r="E8" s="1335">
        <f t="shared" si="1"/>
        <v>120</v>
      </c>
      <c r="F8" s="1335">
        <f t="shared" si="1"/>
        <v>180</v>
      </c>
      <c r="G8" s="1335">
        <f t="shared" si="1"/>
        <v>240</v>
      </c>
      <c r="H8" s="1335">
        <f t="shared" si="1"/>
        <v>1200</v>
      </c>
      <c r="I8" s="1335">
        <f t="shared" si="1"/>
        <v>360</v>
      </c>
      <c r="J8" s="1335">
        <f t="shared" si="1"/>
        <v>60</v>
      </c>
      <c r="K8" s="1335">
        <f t="shared" si="1"/>
        <v>960</v>
      </c>
      <c r="L8" s="1335">
        <f t="shared" si="1"/>
        <v>240</v>
      </c>
      <c r="M8" s="1335">
        <f t="shared" si="1"/>
        <v>240</v>
      </c>
      <c r="N8" s="1335">
        <f t="shared" si="1"/>
        <v>240</v>
      </c>
      <c r="O8" s="1335">
        <f t="shared" si="1"/>
        <v>0</v>
      </c>
      <c r="P8" s="1335">
        <f t="shared" si="1"/>
        <v>0</v>
      </c>
    </row>
    <row r="10" spans="2:20" ht="25.5" x14ac:dyDescent="0.25">
      <c r="C10" s="1339" t="s">
        <v>625</v>
      </c>
      <c r="D10" s="1339" t="s">
        <v>626</v>
      </c>
      <c r="E10" s="1339" t="s">
        <v>627</v>
      </c>
    </row>
    <row r="11" spans="2:20" x14ac:dyDescent="0.25">
      <c r="B11" s="1334" t="s">
        <v>468</v>
      </c>
      <c r="C11" s="1335">
        <v>750</v>
      </c>
      <c r="D11" s="1335">
        <v>750</v>
      </c>
      <c r="E11" s="1335">
        <v>1500</v>
      </c>
    </row>
    <row r="15" spans="2:20" x14ac:dyDescent="0.25">
      <c r="L15" s="1336" t="s">
        <v>629</v>
      </c>
    </row>
    <row r="16" spans="2:20" x14ac:dyDescent="0.25">
      <c r="L16" s="1337"/>
    </row>
    <row r="17" spans="3:12" x14ac:dyDescent="0.25">
      <c r="L17" s="1335">
        <f>R3+R7</f>
        <v>2050</v>
      </c>
    </row>
    <row r="20" spans="3:12" ht="39.950000000000003" customHeight="1" x14ac:dyDescent="0.25"/>
    <row r="21" spans="3:12" ht="39.950000000000003" customHeight="1" x14ac:dyDescent="0.25"/>
    <row r="22" spans="3:12" ht="39.950000000000003" customHeight="1" x14ac:dyDescent="0.25"/>
    <row r="23" spans="3:12" ht="39.950000000000003" customHeight="1" x14ac:dyDescent="0.25"/>
    <row r="24" spans="3:12" ht="39.950000000000003" customHeight="1" x14ac:dyDescent="0.25"/>
    <row r="25" spans="3:12" ht="39.950000000000003" customHeight="1" x14ac:dyDescent="0.25"/>
    <row r="26" spans="3:12" ht="39.950000000000003" customHeight="1" x14ac:dyDescent="0.25"/>
    <row r="27" spans="3:12" ht="39.950000000000003" customHeight="1" x14ac:dyDescent="0.25">
      <c r="C27" s="40"/>
      <c r="D27" s="40"/>
      <c r="E27" s="40"/>
      <c r="F27" s="40"/>
    </row>
    <row r="28" spans="3:12" ht="39.950000000000003" customHeight="1" x14ac:dyDescent="0.25">
      <c r="C28" s="40"/>
      <c r="D28" s="40"/>
      <c r="E28" s="40"/>
      <c r="F28" s="40"/>
    </row>
    <row r="29" spans="3:12" ht="39.950000000000003" customHeight="1" x14ac:dyDescent="0.25">
      <c r="C29" s="40"/>
      <c r="D29" s="40"/>
      <c r="E29" s="40"/>
      <c r="F29" s="40"/>
    </row>
    <row r="30" spans="3:12" ht="39.950000000000003" customHeight="1" x14ac:dyDescent="0.25">
      <c r="C30" s="40"/>
      <c r="D30" s="40"/>
      <c r="E30" s="40"/>
      <c r="F30" s="40"/>
    </row>
    <row r="31" spans="3:12" ht="39.950000000000003" customHeight="1" x14ac:dyDescent="0.25">
      <c r="C31" s="40"/>
      <c r="D31" s="40"/>
      <c r="E31" s="40"/>
      <c r="F31" s="40"/>
    </row>
    <row r="32" spans="3:12" ht="39.950000000000003" customHeight="1" x14ac:dyDescent="0.25">
      <c r="C32" s="40"/>
      <c r="D32" s="40"/>
      <c r="E32" s="40"/>
      <c r="F32" s="40"/>
    </row>
    <row r="33" spans="3:6" ht="39.950000000000003" customHeight="1" x14ac:dyDescent="0.25">
      <c r="C33" s="40"/>
      <c r="D33" s="40"/>
      <c r="E33" s="40"/>
      <c r="F33" s="40"/>
    </row>
    <row r="34" spans="3:6" ht="39.950000000000003" customHeight="1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  <row r="47" spans="3:6" x14ac:dyDescent="0.25">
      <c r="C47" s="40"/>
      <c r="D47" s="40"/>
      <c r="E47" s="40"/>
      <c r="F47" s="40"/>
    </row>
    <row r="48" spans="3:6" x14ac:dyDescent="0.25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21" t="s">
        <v>153</v>
      </c>
      <c r="E2" s="921"/>
      <c r="F2" s="921"/>
      <c r="G2" s="120"/>
    </row>
    <row r="3" spans="4:14" x14ac:dyDescent="0.25">
      <c r="D3" s="1330"/>
      <c r="E3" s="1331"/>
      <c r="F3" s="1332"/>
      <c r="I3" s="921" t="s">
        <v>154</v>
      </c>
      <c r="J3" s="921"/>
      <c r="K3" s="921"/>
      <c r="L3" s="921"/>
      <c r="M3" s="921"/>
      <c r="N3" s="921"/>
    </row>
    <row r="4" spans="4:14" ht="26.25" customHeight="1" x14ac:dyDescent="0.25">
      <c r="D4" s="1333" t="s">
        <v>149</v>
      </c>
      <c r="E4" s="1333"/>
      <c r="F4" s="121">
        <v>7</v>
      </c>
      <c r="I4" s="1330"/>
      <c r="J4" s="1331"/>
      <c r="K4" s="1331"/>
      <c r="L4" s="1331"/>
      <c r="M4" s="1331"/>
      <c r="N4" s="1332"/>
    </row>
    <row r="5" spans="4:14" x14ac:dyDescent="0.25">
      <c r="D5" s="1330"/>
      <c r="E5" s="1331"/>
      <c r="F5" s="133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33" t="s">
        <v>150</v>
      </c>
      <c r="E6" s="133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30"/>
      <c r="E7" s="1331"/>
      <c r="F7" s="1332"/>
    </row>
    <row r="8" spans="4:14" ht="27" customHeight="1" x14ac:dyDescent="0.25">
      <c r="D8" s="1333" t="s">
        <v>151</v>
      </c>
      <c r="E8" s="1333"/>
      <c r="F8" s="122">
        <f>F4/F6</f>
        <v>2.1212121212121211</v>
      </c>
    </row>
    <row r="10" spans="4:14" x14ac:dyDescent="0.25">
      <c r="J10" s="940" t="s">
        <v>154</v>
      </c>
      <c r="K10" s="941"/>
      <c r="L10" s="942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21" t="s">
        <v>249</v>
      </c>
      <c r="E19" s="921"/>
      <c r="F19" s="921"/>
      <c r="G19" s="921"/>
      <c r="H19" s="921"/>
      <c r="I19" s="921"/>
    </row>
    <row r="20" spans="4:9" x14ac:dyDescent="0.25">
      <c r="D20" s="1330"/>
      <c r="E20" s="1331"/>
      <c r="F20" s="1331"/>
      <c r="G20" s="1331"/>
      <c r="H20" s="1331"/>
      <c r="I20" s="1332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523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512</v>
      </c>
    </row>
    <row r="2" spans="1:1" x14ac:dyDescent="0.25">
      <c r="A2" t="s">
        <v>513</v>
      </c>
    </row>
    <row r="3" spans="1:1" x14ac:dyDescent="0.25">
      <c r="A3" t="s">
        <v>514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2025-08-25T20:39:36Z</dcterms:modified>
</cp:coreProperties>
</file>