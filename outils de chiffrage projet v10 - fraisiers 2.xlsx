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omments1.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A49A451A-DA2F-4C3C-9764-C7A289BBB972}" xr6:coauthVersionLast="47" xr6:coauthVersionMax="47" xr10:uidLastSave="{00000000-0000-0000-0000-000000000000}"/>
  <bookViews>
    <workbookView xWindow="28680" yWindow="630" windowWidth="29040" windowHeight="15840" tabRatio="887" firstSheet="13" activeTab="21"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Prix de revient Fraises" sheetId="53" r:id="rId22"/>
    <sheet name="intro au BP de Tréso" sheetId="23" r:id="rId23"/>
    <sheet name="BP - N" sheetId="13" r:id="rId24"/>
    <sheet name="BP - N+1" sheetId="26" r:id="rId25"/>
    <sheet name="BP - N+2" sheetId="27" r:id="rId26"/>
    <sheet name="BP - N+3" sheetId="28" r:id="rId27"/>
    <sheet name="BP - N+4" sheetId="29" r:id="rId28"/>
    <sheet name="BP - N+5" sheetId="30" r:id="rId29"/>
    <sheet name="BP - N+6" sheetId="31" r:id="rId30"/>
    <sheet name="graphique BPT" sheetId="20" r:id="rId31"/>
  </sheets>
  <externalReferences>
    <externalReference r:id="rId32"/>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F93" i="53" l="1"/>
  <c r="F45" i="53"/>
  <c r="F46" i="53"/>
  <c r="F47" i="53"/>
  <c r="F48" i="53"/>
  <c r="F49" i="53"/>
  <c r="F50" i="53"/>
  <c r="F51" i="53"/>
  <c r="F52" i="53"/>
  <c r="F53" i="53"/>
  <c r="F54" i="53"/>
  <c r="F55" i="53"/>
  <c r="F56" i="53"/>
  <c r="F57" i="53"/>
  <c r="F58" i="53"/>
  <c r="F59" i="53"/>
  <c r="F60" i="53"/>
  <c r="F61" i="53"/>
  <c r="F62" i="53"/>
  <c r="F63" i="53"/>
  <c r="F64" i="53"/>
  <c r="F65" i="53"/>
  <c r="F44" i="53"/>
  <c r="F19" i="53"/>
  <c r="F20" i="53"/>
  <c r="F21" i="53"/>
  <c r="F22" i="53"/>
  <c r="F23" i="53"/>
  <c r="F24" i="53"/>
  <c r="F25" i="53"/>
  <c r="F26" i="53"/>
  <c r="F27" i="53"/>
  <c r="F18" i="53"/>
  <c r="F98" i="53"/>
  <c r="F101" i="53" s="1"/>
  <c r="F96" i="53"/>
  <c r="G96" i="53" s="1"/>
  <c r="F91" i="53"/>
  <c r="G91" i="53" s="1"/>
  <c r="F82" i="53"/>
  <c r="G81" i="53"/>
  <c r="G107" i="53" s="1"/>
  <c r="F81" i="53"/>
  <c r="G75" i="53"/>
  <c r="F74" i="53"/>
  <c r="G73" i="53"/>
  <c r="G70" i="53"/>
  <c r="G69" i="53"/>
  <c r="G68" i="53"/>
  <c r="G67" i="53"/>
  <c r="G66" i="53"/>
  <c r="G65" i="53"/>
  <c r="G64" i="53"/>
  <c r="G63" i="53"/>
  <c r="G62" i="53"/>
  <c r="G61" i="53"/>
  <c r="G60" i="53"/>
  <c r="G59" i="53"/>
  <c r="G58" i="53"/>
  <c r="G57" i="53"/>
  <c r="G56" i="53"/>
  <c r="G55" i="53"/>
  <c r="G54" i="53"/>
  <c r="G53" i="53"/>
  <c r="G52" i="53"/>
  <c r="G51" i="53"/>
  <c r="G50" i="53"/>
  <c r="G49" i="53"/>
  <c r="G48" i="53"/>
  <c r="G47" i="53"/>
  <c r="G45" i="53"/>
  <c r="G40" i="53"/>
  <c r="G39" i="53"/>
  <c r="G38" i="53"/>
  <c r="G37" i="53"/>
  <c r="G36" i="53"/>
  <c r="G35" i="53"/>
  <c r="G34" i="53"/>
  <c r="G33" i="53"/>
  <c r="G32" i="53"/>
  <c r="G31" i="53"/>
  <c r="G30" i="53"/>
  <c r="G29" i="53"/>
  <c r="G28" i="53"/>
  <c r="G27" i="53"/>
  <c r="G26" i="53"/>
  <c r="G25" i="53"/>
  <c r="G24" i="53"/>
  <c r="G23" i="53"/>
  <c r="G22" i="53"/>
  <c r="G21" i="53"/>
  <c r="G20" i="53"/>
  <c r="G19" i="53"/>
  <c r="G18" i="53"/>
  <c r="G17" i="53"/>
  <c r="G16" i="53"/>
  <c r="G15" i="53"/>
  <c r="F14" i="53"/>
  <c r="G14" i="53" s="1"/>
  <c r="F13" i="53"/>
  <c r="G13" i="53" s="1"/>
  <c r="F12" i="53"/>
  <c r="L52" i="29"/>
  <c r="M52" i="29"/>
  <c r="M52" i="28"/>
  <c r="J52" i="28"/>
  <c r="H52" i="28"/>
  <c r="M52" i="27"/>
  <c r="J52" i="27"/>
  <c r="H52" i="27"/>
  <c r="M52" i="26"/>
  <c r="J52" i="26"/>
  <c r="H52" i="26"/>
  <c r="I57" i="31"/>
  <c r="J57" i="31"/>
  <c r="K57" i="31"/>
  <c r="L57" i="31"/>
  <c r="M57" i="31"/>
  <c r="N57" i="31"/>
  <c r="O57" i="31"/>
  <c r="P57" i="31"/>
  <c r="Q57" i="31"/>
  <c r="R57" i="31"/>
  <c r="H57" i="31"/>
  <c r="I56" i="31"/>
  <c r="J56" i="31"/>
  <c r="K56" i="31"/>
  <c r="L56" i="31"/>
  <c r="M56" i="31"/>
  <c r="N56" i="31"/>
  <c r="O56" i="31"/>
  <c r="P56" i="31"/>
  <c r="Q56" i="31"/>
  <c r="R56" i="31"/>
  <c r="H56" i="31"/>
  <c r="H11" i="31"/>
  <c r="I11" i="31"/>
  <c r="J11" i="31"/>
  <c r="K11" i="31"/>
  <c r="L11" i="31"/>
  <c r="M11" i="31"/>
  <c r="N11" i="31"/>
  <c r="O11" i="31"/>
  <c r="P11" i="31"/>
  <c r="Q11" i="31"/>
  <c r="R11" i="31"/>
  <c r="G11" i="31"/>
  <c r="H11" i="30"/>
  <c r="I11" i="30"/>
  <c r="J11" i="30"/>
  <c r="K11" i="30"/>
  <c r="L11" i="30"/>
  <c r="M11" i="30"/>
  <c r="N11" i="30"/>
  <c r="O11" i="30"/>
  <c r="P11" i="30"/>
  <c r="Q11" i="30"/>
  <c r="R11" i="30"/>
  <c r="G11" i="30"/>
  <c r="I57" i="30"/>
  <c r="J57" i="30"/>
  <c r="K57" i="30"/>
  <c r="L57" i="30"/>
  <c r="M57" i="30"/>
  <c r="N57" i="30"/>
  <c r="O57" i="30"/>
  <c r="P57" i="30"/>
  <c r="Q57" i="30"/>
  <c r="R57" i="30"/>
  <c r="H57" i="30"/>
  <c r="I56" i="30"/>
  <c r="J56" i="30"/>
  <c r="K56" i="30"/>
  <c r="L56" i="30"/>
  <c r="M56" i="30"/>
  <c r="N56" i="30"/>
  <c r="O56" i="30"/>
  <c r="P56" i="30"/>
  <c r="Q56" i="30"/>
  <c r="R56" i="30"/>
  <c r="H56" i="30"/>
  <c r="I35" i="29"/>
  <c r="J35" i="29"/>
  <c r="K35" i="29"/>
  <c r="L35" i="29"/>
  <c r="M35" i="29"/>
  <c r="N35" i="29"/>
  <c r="O35" i="29"/>
  <c r="P35" i="29"/>
  <c r="Q35" i="29"/>
  <c r="R35" i="29"/>
  <c r="H35" i="29"/>
  <c r="H36" i="29"/>
  <c r="G35" i="29"/>
  <c r="I30" i="29"/>
  <c r="J30" i="29"/>
  <c r="K30" i="29"/>
  <c r="L30" i="29"/>
  <c r="M30" i="29"/>
  <c r="N30" i="29"/>
  <c r="O30" i="29"/>
  <c r="P30" i="29"/>
  <c r="Q30" i="29"/>
  <c r="R30" i="29"/>
  <c r="H30" i="29"/>
  <c r="G30" i="29"/>
  <c r="K11" i="29"/>
  <c r="L11" i="29"/>
  <c r="M11" i="29"/>
  <c r="J11" i="29"/>
  <c r="I11" i="29"/>
  <c r="I57" i="29"/>
  <c r="J57" i="29"/>
  <c r="K57" i="29"/>
  <c r="L57" i="29"/>
  <c r="M57" i="29"/>
  <c r="N57" i="29"/>
  <c r="O57" i="29"/>
  <c r="P57" i="29"/>
  <c r="Q57" i="29"/>
  <c r="R57" i="29"/>
  <c r="H57" i="29"/>
  <c r="G57" i="29"/>
  <c r="G56" i="29"/>
  <c r="J56" i="29"/>
  <c r="K56" i="29"/>
  <c r="L56" i="29"/>
  <c r="M56" i="29"/>
  <c r="N56" i="29"/>
  <c r="O56" i="29"/>
  <c r="P56" i="29"/>
  <c r="Q56" i="29"/>
  <c r="R56" i="29"/>
  <c r="I56" i="29"/>
  <c r="H56" i="29"/>
  <c r="I53" i="29"/>
  <c r="J53" i="29"/>
  <c r="K53" i="29"/>
  <c r="L53" i="29"/>
  <c r="M53" i="29"/>
  <c r="N53" i="29"/>
  <c r="O53" i="29"/>
  <c r="P53" i="29"/>
  <c r="Q53" i="29"/>
  <c r="R53" i="29"/>
  <c r="H53" i="29"/>
  <c r="G53" i="29"/>
  <c r="I89" i="29"/>
  <c r="J89" i="29"/>
  <c r="K89" i="29"/>
  <c r="L89" i="29"/>
  <c r="M89" i="29"/>
  <c r="N89" i="29"/>
  <c r="O89" i="29"/>
  <c r="P89" i="29"/>
  <c r="Q89" i="29"/>
  <c r="R89" i="29"/>
  <c r="H89" i="29"/>
  <c r="G89" i="29"/>
  <c r="J7" i="44"/>
  <c r="AL55" i="3"/>
  <c r="AL56" i="3"/>
  <c r="AG56" i="3"/>
  <c r="AG55" i="3"/>
  <c r="Q13" i="3"/>
  <c r="V13" i="3"/>
  <c r="AA13" i="3"/>
  <c r="AF13" i="3"/>
  <c r="AK13" i="3"/>
  <c r="L13" i="3"/>
  <c r="AN32" i="2"/>
  <c r="AP32" i="2"/>
  <c r="AJ32" i="2"/>
  <c r="AH32" i="2"/>
  <c r="F41" i="53" l="1"/>
  <c r="G12" i="53"/>
  <c r="F71" i="53"/>
  <c r="G44" i="53"/>
  <c r="G74" i="53"/>
  <c r="F84" i="53"/>
  <c r="G82" i="53"/>
  <c r="G101" i="53"/>
  <c r="F91" i="52"/>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I245" i="3"/>
  <c r="K245" i="3" s="1"/>
  <c r="O250" i="3"/>
  <c r="Q250"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G84" i="53" l="1"/>
  <c r="F77" i="53"/>
  <c r="G77" i="53" s="1"/>
  <c r="G71" i="53"/>
  <c r="F79" i="53"/>
  <c r="G41" i="53"/>
  <c r="F98" i="52"/>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79" i="53" l="1"/>
  <c r="F105" i="53"/>
  <c r="G105" i="53" s="1"/>
  <c r="J105" i="53" s="1"/>
  <c r="F103" i="53"/>
  <c r="F86" i="53"/>
  <c r="G86" i="53" s="1"/>
  <c r="G41" i="52"/>
  <c r="F71" i="52"/>
  <c r="G44" i="52"/>
  <c r="F84" i="52"/>
  <c r="G82" i="52"/>
  <c r="G101" i="52"/>
  <c r="G41" i="51"/>
  <c r="F71" i="51"/>
  <c r="G44" i="51"/>
  <c r="F84" i="51"/>
  <c r="G82" i="51"/>
  <c r="G101" i="51"/>
  <c r="G84" i="50"/>
  <c r="F77" i="50"/>
  <c r="G77" i="50" s="1"/>
  <c r="G71" i="50"/>
  <c r="F79" i="50"/>
  <c r="G41" i="50"/>
  <c r="G103" i="53" l="1"/>
  <c r="J78" i="53"/>
  <c r="G84" i="52"/>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109" i="31"/>
  <c r="I109" i="31"/>
  <c r="J109" i="31"/>
  <c r="K109" i="31"/>
  <c r="L109" i="31"/>
  <c r="M109" i="31"/>
  <c r="N109" i="31"/>
  <c r="O109" i="31"/>
  <c r="P109" i="31"/>
  <c r="Q109" i="31"/>
  <c r="R109" i="31"/>
  <c r="G10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90" i="31"/>
  <c r="G93" i="31"/>
  <c r="G94" i="31"/>
  <c r="G95" i="31"/>
  <c r="G96" i="31"/>
  <c r="G97" i="31"/>
  <c r="G71"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4" i="31"/>
  <c r="G55" i="31"/>
  <c r="G58" i="31"/>
  <c r="G59" i="31"/>
  <c r="G60" i="31"/>
  <c r="G61" i="31"/>
  <c r="G62" i="31"/>
  <c r="G63" i="31"/>
  <c r="G38"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109" i="30"/>
  <c r="I109" i="30"/>
  <c r="J109" i="30"/>
  <c r="K109" i="30"/>
  <c r="L109" i="30"/>
  <c r="M109" i="30"/>
  <c r="N109" i="30"/>
  <c r="O109" i="30"/>
  <c r="P109" i="30"/>
  <c r="Q109" i="30"/>
  <c r="R109" i="30"/>
  <c r="G10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H89" i="31" s="1"/>
  <c r="I89" i="30"/>
  <c r="I89" i="31" s="1"/>
  <c r="J89" i="30"/>
  <c r="J89" i="31" s="1"/>
  <c r="K89" i="30"/>
  <c r="K89" i="31" s="1"/>
  <c r="L89" i="30"/>
  <c r="L89" i="31" s="1"/>
  <c r="M89" i="30"/>
  <c r="M89" i="31" s="1"/>
  <c r="N89" i="30"/>
  <c r="N89" i="31" s="1"/>
  <c r="O89" i="30"/>
  <c r="O89" i="31" s="1"/>
  <c r="P89" i="30"/>
  <c r="P89" i="31" s="1"/>
  <c r="Q89" i="30"/>
  <c r="Q89" i="31" s="1"/>
  <c r="R89" i="30"/>
  <c r="R89" i="31" s="1"/>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89" i="31" s="1"/>
  <c r="G90" i="30"/>
  <c r="G93" i="30"/>
  <c r="G94" i="30"/>
  <c r="G95" i="30"/>
  <c r="G96" i="30"/>
  <c r="G97" i="30"/>
  <c r="H71" i="30"/>
  <c r="I71" i="30"/>
  <c r="J71" i="30"/>
  <c r="K71" i="30"/>
  <c r="L71" i="30"/>
  <c r="M71" i="30"/>
  <c r="N71" i="30"/>
  <c r="O71" i="30"/>
  <c r="P71" i="30"/>
  <c r="Q71" i="30"/>
  <c r="R71" i="30"/>
  <c r="G71" i="30"/>
  <c r="H53" i="30"/>
  <c r="H53" i="31" s="1"/>
  <c r="I53" i="30"/>
  <c r="I53" i="31" s="1"/>
  <c r="J53" i="30"/>
  <c r="J53" i="31" s="1"/>
  <c r="K53" i="30"/>
  <c r="K53" i="31" s="1"/>
  <c r="L53" i="30"/>
  <c r="L53" i="31" s="1"/>
  <c r="M53" i="30"/>
  <c r="M53" i="31" s="1"/>
  <c r="N53" i="30"/>
  <c r="N53" i="31" s="1"/>
  <c r="O53" i="30"/>
  <c r="O53" i="31" s="1"/>
  <c r="P53" i="30"/>
  <c r="P53" i="31" s="1"/>
  <c r="Q53" i="30"/>
  <c r="Q53" i="31" s="1"/>
  <c r="R53" i="30"/>
  <c r="R53" i="31" s="1"/>
  <c r="H52" i="30"/>
  <c r="H52" i="31" s="1"/>
  <c r="I52" i="30"/>
  <c r="I52" i="31" s="1"/>
  <c r="J52" i="30"/>
  <c r="J52" i="31" s="1"/>
  <c r="K52" i="30"/>
  <c r="K52" i="31" s="1"/>
  <c r="L52" i="30"/>
  <c r="L52" i="31" s="1"/>
  <c r="O52" i="30"/>
  <c r="O52" i="31" s="1"/>
  <c r="P52" i="30"/>
  <c r="P52" i="31" s="1"/>
  <c r="Q52" i="30"/>
  <c r="Q52" i="31" s="1"/>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3" i="30"/>
  <c r="G53" i="31" s="1"/>
  <c r="G54" i="30"/>
  <c r="G55" i="30"/>
  <c r="G56" i="30"/>
  <c r="G56" i="31" s="1"/>
  <c r="G57" i="30"/>
  <c r="G57" i="31" s="1"/>
  <c r="G58" i="30"/>
  <c r="G59" i="30"/>
  <c r="G60" i="30"/>
  <c r="G61" i="30"/>
  <c r="G62" i="30"/>
  <c r="G63" i="30"/>
  <c r="G64" i="30"/>
  <c r="G65" i="30"/>
  <c r="G66" i="30"/>
  <c r="G67" i="30"/>
  <c r="H38" i="30"/>
  <c r="I38" i="30"/>
  <c r="J38" i="30"/>
  <c r="K38" i="30"/>
  <c r="L38" i="30"/>
  <c r="M38" i="30"/>
  <c r="N38" i="30"/>
  <c r="O38" i="30"/>
  <c r="P38" i="30"/>
  <c r="Q38" i="30"/>
  <c r="R38" i="30"/>
  <c r="G38" i="30"/>
  <c r="H35" i="30"/>
  <c r="H35" i="31" s="1"/>
  <c r="I35" i="30"/>
  <c r="I35" i="31" s="1"/>
  <c r="J35" i="30"/>
  <c r="J35" i="31" s="1"/>
  <c r="K35" i="30"/>
  <c r="K35" i="31" s="1"/>
  <c r="L35" i="30"/>
  <c r="L35" i="31" s="1"/>
  <c r="M35" i="30"/>
  <c r="M35" i="31" s="1"/>
  <c r="N35" i="30"/>
  <c r="N35" i="31" s="1"/>
  <c r="O35" i="30"/>
  <c r="O35" i="31" s="1"/>
  <c r="P35" i="30"/>
  <c r="P35" i="31" s="1"/>
  <c r="Q35" i="30"/>
  <c r="Q35" i="31" s="1"/>
  <c r="R35" i="30"/>
  <c r="R35" i="31" s="1"/>
  <c r="G35" i="30"/>
  <c r="G35" i="31" s="1"/>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I109" i="29"/>
  <c r="J109" i="29"/>
  <c r="K109" i="29"/>
  <c r="L109" i="29"/>
  <c r="M109" i="29"/>
  <c r="N109" i="29"/>
  <c r="O109" i="29"/>
  <c r="P109" i="29"/>
  <c r="Q109" i="29"/>
  <c r="R109" i="29"/>
  <c r="G10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90" i="29"/>
  <c r="G92" i="29"/>
  <c r="G92" i="30" s="1"/>
  <c r="G92" i="31" s="1"/>
  <c r="G93" i="29"/>
  <c r="G94" i="29"/>
  <c r="G95" i="29"/>
  <c r="G96" i="29"/>
  <c r="G97" i="29"/>
  <c r="G71" i="29"/>
  <c r="R52" i="29"/>
  <c r="R52" i="30" s="1"/>
  <c r="R52" i="31" s="1"/>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2" i="30" s="1"/>
  <c r="G52" i="31" s="1"/>
  <c r="G54" i="29"/>
  <c r="G55" i="29"/>
  <c r="G58" i="29"/>
  <c r="G59" i="29"/>
  <c r="G60" i="29"/>
  <c r="G61" i="29"/>
  <c r="G62" i="29"/>
  <c r="G63" i="29"/>
  <c r="G64" i="29"/>
  <c r="G65" i="29"/>
  <c r="G66" i="29"/>
  <c r="G67" i="29"/>
  <c r="H38" i="29"/>
  <c r="I38" i="29"/>
  <c r="J38" i="29"/>
  <c r="K38" i="29"/>
  <c r="L38" i="29"/>
  <c r="M38" i="29"/>
  <c r="N38" i="29"/>
  <c r="O38" i="29"/>
  <c r="P38" i="29"/>
  <c r="Q38" i="29"/>
  <c r="R38" i="29"/>
  <c r="G38"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7" i="3"/>
  <c r="AL90" i="3"/>
  <c r="AL91" i="3"/>
  <c r="AL92" i="3"/>
  <c r="AL93" i="3"/>
  <c r="AL94" i="3"/>
  <c r="AL71" i="3"/>
  <c r="AG77" i="3"/>
  <c r="AG78" i="3"/>
  <c r="AG79" i="3"/>
  <c r="AG80" i="3"/>
  <c r="AG81" i="3"/>
  <c r="AG82" i="3"/>
  <c r="AG83" i="3"/>
  <c r="AG84" i="3"/>
  <c r="AG85" i="3"/>
  <c r="AG86" i="3"/>
  <c r="AL86" i="3" s="1"/>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7" i="3"/>
  <c r="AB88" i="3"/>
  <c r="AG88" i="3" s="1"/>
  <c r="AL88" i="3" s="1"/>
  <c r="AB89" i="3"/>
  <c r="AG89" i="3" s="1"/>
  <c r="AL89" i="3" s="1"/>
  <c r="AB90" i="3"/>
  <c r="AB91" i="3"/>
  <c r="AB92" i="3"/>
  <c r="AB93" i="3"/>
  <c r="AB94" i="3"/>
  <c r="AB71" i="3"/>
  <c r="AL42" i="3"/>
  <c r="AL43" i="3"/>
  <c r="AL44" i="3"/>
  <c r="AL46" i="3"/>
  <c r="AL47" i="3"/>
  <c r="AL48" i="3"/>
  <c r="AL49" i="3"/>
  <c r="AL50" i="3"/>
  <c r="AL41" i="3"/>
  <c r="AG42" i="3"/>
  <c r="AG43" i="3"/>
  <c r="AG44" i="3"/>
  <c r="AG46" i="3"/>
  <c r="AG47" i="3"/>
  <c r="AG48" i="3"/>
  <c r="AG49" i="3"/>
  <c r="AG50" i="3"/>
  <c r="AG52" i="3"/>
  <c r="AL52" i="3" s="1"/>
  <c r="AG41" i="3"/>
  <c r="AB42" i="3"/>
  <c r="AB43" i="3"/>
  <c r="AB44" i="3"/>
  <c r="AB45" i="3"/>
  <c r="AG45" i="3" s="1"/>
  <c r="AL45" i="3" s="1"/>
  <c r="AB46" i="3"/>
  <c r="AB47" i="3"/>
  <c r="AB48" i="3"/>
  <c r="AB49" i="3"/>
  <c r="AB50" i="3"/>
  <c r="AG51" i="3"/>
  <c r="AL51" i="3" s="1"/>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32" i="13"/>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G109" i="13"/>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O245" i="3"/>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13" l="1"/>
  <c r="I112" i="13"/>
  <c r="J112" i="13"/>
  <c r="K112" i="13"/>
  <c r="L112" i="13"/>
  <c r="M112" i="13"/>
  <c r="N112" i="13"/>
  <c r="O112" i="13"/>
  <c r="P112" i="13"/>
  <c r="Q112" i="13"/>
  <c r="R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9" i="28"/>
  <c r="F108" i="28"/>
  <c r="D111" i="27"/>
  <c r="G111" i="27" s="1"/>
  <c r="F111" i="27"/>
  <c r="D111" i="26"/>
  <c r="G111" i="26" s="1"/>
  <c r="G112" i="26" s="1"/>
  <c r="F111" i="26"/>
  <c r="D111" i="13"/>
  <c r="F111" i="13"/>
  <c r="Q246" i="3"/>
  <c r="D30" i="31" s="1"/>
  <c r="O246" i="3"/>
  <c r="D30" i="30" s="1"/>
  <c r="M246" i="3"/>
  <c r="D30" i="29" s="1"/>
  <c r="K246" i="3"/>
  <c r="I246" i="3"/>
  <c r="D30" i="27" s="1"/>
  <c r="G30" i="27" s="1"/>
  <c r="G246" i="3"/>
  <c r="D30" i="26" s="1"/>
  <c r="G30" i="26" s="1"/>
  <c r="E246" i="3"/>
  <c r="D30" i="13" s="1"/>
  <c r="D116" i="3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J116" i="30"/>
  <c r="I116" i="31"/>
  <c r="L116" i="30"/>
  <c r="L116" i="31"/>
  <c r="M116" i="30"/>
  <c r="M116" i="31"/>
  <c r="O116" i="31"/>
  <c r="G116" i="31"/>
  <c r="L116" i="28"/>
  <c r="O116" i="28"/>
  <c r="G116" i="28"/>
  <c r="P116" i="28"/>
  <c r="I116" i="26"/>
  <c r="P116" i="26"/>
  <c r="M116" i="13"/>
  <c r="P116" i="13"/>
  <c r="R116" i="27"/>
  <c r="J116" i="27"/>
  <c r="L116" i="27"/>
  <c r="I116" i="27"/>
  <c r="M116" i="27"/>
  <c r="J116" i="13"/>
  <c r="R116" i="13"/>
  <c r="O116" i="27"/>
  <c r="I116" i="28"/>
  <c r="G116" i="30"/>
  <c r="O116" i="30"/>
  <c r="J116" i="31"/>
  <c r="R116" i="31"/>
  <c r="L116" i="13"/>
  <c r="G116" i="27"/>
  <c r="J116" i="28"/>
  <c r="R116" i="28"/>
  <c r="P116" i="30"/>
  <c r="O116" i="13"/>
  <c r="J116" i="26"/>
  <c r="L116" i="26"/>
  <c r="M116" i="26"/>
  <c r="G116" i="26"/>
  <c r="O116" i="26"/>
  <c r="BB8" i="2"/>
  <c r="BB9" i="2" s="1"/>
  <c r="BB10" i="2" s="1"/>
  <c r="BB11" i="2" s="1"/>
  <c r="I30" i="28" l="1"/>
  <c r="I30" i="30" s="1"/>
  <c r="I30" i="31" s="1"/>
  <c r="J30" i="28"/>
  <c r="J30" i="30" s="1"/>
  <c r="J30" i="31" s="1"/>
  <c r="K30" i="28"/>
  <c r="K30" i="30" s="1"/>
  <c r="K30" i="31" s="1"/>
  <c r="L30" i="28"/>
  <c r="L30" i="30" s="1"/>
  <c r="L30" i="31" s="1"/>
  <c r="M30" i="28"/>
  <c r="M30" i="30" s="1"/>
  <c r="M30" i="31" s="1"/>
  <c r="N30" i="28"/>
  <c r="N30" i="30" s="1"/>
  <c r="N30" i="31" s="1"/>
  <c r="O30" i="28"/>
  <c r="O30" i="30" s="1"/>
  <c r="O30" i="31" s="1"/>
  <c r="P30" i="28"/>
  <c r="P30" i="30" s="1"/>
  <c r="P30" i="31" s="1"/>
  <c r="Q30" i="28"/>
  <c r="Q30" i="30" s="1"/>
  <c r="Q30" i="31" s="1"/>
  <c r="R30" i="28"/>
  <c r="R30" i="30" s="1"/>
  <c r="R30" i="31" s="1"/>
  <c r="H30" i="28"/>
  <c r="H30" i="30" s="1"/>
  <c r="H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1" i="31"/>
  <c r="E31" i="31" s="1"/>
  <c r="F31" i="30"/>
  <c r="E31" i="30"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L68" i="31"/>
  <c r="K68" i="31"/>
  <c r="J68" i="31"/>
  <c r="I68" i="31"/>
  <c r="H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L68" i="30"/>
  <c r="K68" i="30"/>
  <c r="J68" i="30"/>
  <c r="I68" i="30"/>
  <c r="H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L68" i="29"/>
  <c r="K68" i="29"/>
  <c r="J68" i="29"/>
  <c r="I68" i="29"/>
  <c r="H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K75" i="13" l="1"/>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F29" i="31"/>
  <c r="F29" i="30"/>
  <c r="F29" i="29"/>
  <c r="G34" i="28"/>
  <c r="F34" i="28" s="1"/>
  <c r="F29" i="28"/>
  <c r="G34" i="27"/>
  <c r="F29" i="27"/>
  <c r="G34" i="26"/>
  <c r="G36" i="26" s="1"/>
  <c r="F29" i="26"/>
  <c r="D68" i="26"/>
  <c r="Y94" i="4"/>
  <c r="V86" i="4"/>
  <c r="P70" i="4"/>
  <c r="AB102" i="4"/>
  <c r="S78" i="4"/>
  <c r="D68" i="31"/>
  <c r="D68" i="30"/>
  <c r="D68" i="29"/>
  <c r="D98" i="31"/>
  <c r="D98" i="28"/>
  <c r="D98" i="30"/>
  <c r="D98" i="29"/>
  <c r="M52" i="30" l="1"/>
  <c r="M68" i="29"/>
  <c r="F52" i="29"/>
  <c r="E52" i="29" s="1"/>
  <c r="N52" i="30"/>
  <c r="N68" i="29"/>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G36" i="28"/>
  <c r="F36" i="28" s="1"/>
  <c r="G36" i="27"/>
  <c r="F34" i="26"/>
  <c r="F36" i="26"/>
  <c r="N52" i="31" l="1"/>
  <c r="N68" i="31" s="1"/>
  <c r="N68" i="30"/>
  <c r="F68" i="29"/>
  <c r="E68" i="29" s="1"/>
  <c r="M52" i="31"/>
  <c r="M68" i="30"/>
  <c r="F68" i="30" s="1"/>
  <c r="E68" i="30" s="1"/>
  <c r="F52" i="30"/>
  <c r="E52" i="30"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M68" i="31" l="1"/>
  <c r="F68" i="31" s="1"/>
  <c r="E68" i="31" s="1"/>
  <c r="F52" i="31"/>
  <c r="E52" i="31" s="1"/>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09"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112"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2" i="26" s="1"/>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H114" i="13" s="1"/>
  <c r="H115" i="13" s="1"/>
  <c r="I99" i="13"/>
  <c r="I105" i="13" s="1"/>
  <c r="I114" i="13" s="1"/>
  <c r="I115" i="13" s="1"/>
  <c r="J99" i="13"/>
  <c r="K99" i="13"/>
  <c r="L99" i="13"/>
  <c r="M99" i="13"/>
  <c r="M105" i="13" s="1"/>
  <c r="M114" i="13" s="1"/>
  <c r="M115" i="13" s="1"/>
  <c r="N99" i="13"/>
  <c r="N105" i="13" s="1"/>
  <c r="N114" i="13" s="1"/>
  <c r="N115" i="13" s="1"/>
  <c r="O99" i="13"/>
  <c r="O105" i="13" s="1"/>
  <c r="O114" i="13" s="1"/>
  <c r="O11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G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I69" i="29" l="1"/>
  <c r="J69" i="29"/>
  <c r="K69" i="29"/>
  <c r="L69" i="29"/>
  <c r="M69" i="29"/>
  <c r="N69" i="29"/>
  <c r="O69" i="29"/>
  <c r="P69" i="29"/>
  <c r="Q69" i="29"/>
  <c r="R69" i="29"/>
  <c r="H69" i="29"/>
  <c r="I69" i="26"/>
  <c r="J69" i="26"/>
  <c r="K69" i="26"/>
  <c r="L69" i="26"/>
  <c r="M69" i="26"/>
  <c r="N69" i="26"/>
  <c r="O69" i="26"/>
  <c r="P69" i="26"/>
  <c r="Q69" i="26"/>
  <c r="R69" i="26"/>
  <c r="H69" i="26"/>
  <c r="F69" i="26"/>
  <c r="H110" i="3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D36" i="30"/>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30" s="1"/>
  <c r="I69" i="31" s="1"/>
  <c r="J69" i="28"/>
  <c r="J69" i="30" s="1"/>
  <c r="J69" i="31" s="1"/>
  <c r="K69" i="28"/>
  <c r="K69" i="30" s="1"/>
  <c r="K69" i="31" s="1"/>
  <c r="L69" i="28"/>
  <c r="L69" i="30" s="1"/>
  <c r="L69" i="31" s="1"/>
  <c r="M69" i="28"/>
  <c r="M69" i="30" s="1"/>
  <c r="N69" i="28"/>
  <c r="N69" i="30" s="1"/>
  <c r="N69" i="31" s="1"/>
  <c r="O69" i="28"/>
  <c r="O69" i="30" s="1"/>
  <c r="O69" i="31" s="1"/>
  <c r="P69" i="28"/>
  <c r="P69" i="30" s="1"/>
  <c r="Q69" i="28"/>
  <c r="Q69" i="30" s="1"/>
  <c r="Q69" i="31" s="1"/>
  <c r="R69" i="28"/>
  <c r="R69" i="30" s="1"/>
  <c r="R69" i="31" s="1"/>
  <c r="H69" i="28"/>
  <c r="H69" i="30" s="1"/>
  <c r="H69" i="31" s="1"/>
  <c r="F69" i="28"/>
  <c r="E69" i="28" s="1"/>
  <c r="C95" i="10"/>
  <c r="E95" i="10" s="1"/>
  <c r="E68" i="10"/>
  <c r="X86" i="3"/>
  <c r="X95" i="3" s="1"/>
  <c r="D99" i="28" s="1"/>
  <c r="G99" i="28" s="1"/>
  <c r="T86" i="3"/>
  <c r="S86" i="3" s="1"/>
  <c r="S95" i="3" s="1"/>
  <c r="D99" i="27" s="1"/>
  <c r="T95" i="3"/>
  <c r="D89" i="27"/>
  <c r="D98" i="27" s="1"/>
  <c r="E89" i="27"/>
  <c r="M86" i="3"/>
  <c r="R95" i="3"/>
  <c r="P69" i="31" l="1"/>
  <c r="Q116" i="31" s="1"/>
  <c r="Q116" i="30"/>
  <c r="M69" i="31"/>
  <c r="N116" i="31" s="1"/>
  <c r="N116" i="30"/>
  <c r="G69" i="30"/>
  <c r="H116" i="30" s="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F69" i="31" l="1"/>
  <c r="E69" i="31" s="1"/>
  <c r="H116" i="31"/>
  <c r="G99" i="26"/>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F105" i="31" l="1"/>
  <c r="E105" i="31" s="1"/>
  <c r="G114" i="31"/>
  <c r="F114" i="30"/>
  <c r="E114" i="30" s="1"/>
  <c r="F114" i="31" l="1"/>
  <c r="E114" i="31" s="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AW7" i="20"/>
  <c r="G34" i="29" l="1"/>
  <c r="G36" i="29" s="1"/>
  <c r="F34" i="29"/>
  <c r="F30" i="29"/>
  <c r="E30" i="29"/>
  <c r="G30" i="30"/>
  <c r="G30" i="31"/>
  <c r="G34" i="31" s="1"/>
  <c r="F30" i="31"/>
  <c r="E30" i="31" s="1"/>
  <c r="G36" i="31" l="1"/>
  <c r="F34" i="31"/>
  <c r="G34" i="30"/>
  <c r="F30" i="30"/>
  <c r="E30" i="30" s="1"/>
  <c r="G115" i="29"/>
  <c r="G117" i="29" s="1"/>
  <c r="F36" i="29"/>
  <c r="E36" i="29" s="1"/>
  <c r="H6" i="29" l="1"/>
  <c r="H117" i="29" s="1"/>
  <c r="AX7" i="20"/>
  <c r="G36" i="30"/>
  <c r="F34" i="30"/>
  <c r="G115" i="31"/>
  <c r="F36" i="31"/>
  <c r="E36" i="31" s="1"/>
  <c r="G115" i="30" l="1"/>
  <c r="F36" i="30"/>
  <c r="E36" i="30" s="1"/>
  <c r="I6" i="29"/>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CF7" i="20" l="1"/>
  <c r="R6" i="31"/>
  <c r="R117" i="31" s="1"/>
  <c r="CG7"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<sst xmlns="http://schemas.openxmlformats.org/spreadsheetml/2006/main" count="1834" uniqueCount="585">
  <si>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</si>
  <si>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</si>
  <si>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</si>
  <si>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</si>
  <si>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</si>
  <si>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</si>
  <si>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</si>
  <si>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</si>
  <si>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</si>
  <si>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</si>
  <si>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</si>
  <si>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</si>
  <si>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</si>
  <si>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</si>
  <si>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</si>
  <si>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</si>
  <si>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</si>
  <si>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</si>
  <si>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</si>
  <si>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</si>
  <si>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</si>
  <si>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</si>
  <si>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</si>
  <si>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</si>
  <si>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</si>
  <si>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</si>
  <si>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</si>
  <si>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</si>
  <si>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</si>
  <si>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</si>
  <si>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</si>
  <si>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</si>
  <si>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</si>
  <si>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</si>
  <si>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</si>
  <si>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</si>
  <si>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</si>
  <si>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</si>
  <si>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</si>
  <si>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</si>
  <si>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</si>
  <si>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</si>
  <si>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</si>
  <si>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</si>
  <si>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</si>
  <si>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</si>
  <si>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</si>
  <si>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</si>
  <si>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</si>
  <si>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</si>
  <si>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</si>
  <si>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</si>
  <si>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</si>
  <si>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</si>
  <si>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</si>
  <si>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</si>
  <si>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</si>
  <si>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</si>
  <si>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</si>
  <si>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</si>
  <si>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</si>
  <si>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</si>
  <si>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</si>
  <si>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</si>
  <si>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</si>
  <si>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</si>
  <si>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</si>
  <si>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</si>
  <si>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</si>
  <si>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</si>
  <si>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</si>
  <si>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</si>
  <si>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</si>
  <si>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</si>
  <si>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</si>
  <si>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</si>
  <si>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</si>
  <si>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</si>
  <si>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</si>
  <si>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</si>
  <si>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</si>
  <si>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</si>
  <si>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</si>
  <si>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</si>
  <si>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</si>
  <si>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</si>
  <si>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</si>
  <si>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</si>
  <si>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</si>
  <si>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</si>
  <si>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</si>
  <si>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</si>
  <si>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</si>
  <si>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</si>
  <si>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</si>
  <si>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</si>
  <si>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</si>
  <si>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</si>
  <si>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</si>
  <si>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</si>
  <si>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</si>
  <si>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</si>
  <si>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</si>
  <si>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</si>
  <si>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</si>
  <si>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</si>
  <si>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</si>
  <si>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</si>
  <si>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</si>
  <si>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</si>
  <si>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</si>
  <si>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</si>
  <si>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</si>
  <si>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</si>
  <si>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</si>
  <si>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</si>
  <si>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</si>
  <si>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</si>
  <si>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</si>
  <si>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</si>
  <si>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</si>
  <si>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</si>
  <si>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</si>
  <si>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</si>
  <si>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</si>
  <si>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</si>
  <si>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</si>
  <si>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</si>
  <si>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</si>
  <si>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</si>
  <si>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</si>
  <si>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</si>
  <si>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</si>
  <si>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</si>
  <si>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</si>
  <si>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</si>
  <si>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</si>
  <si>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</si>
  <si>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</si>
  <si>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</si>
  <si>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</si>
  <si>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</si>
  <si>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</si>
  <si>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</si>
  <si>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</si>
  <si>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</si>
  <si>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</si>
  <si>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</si>
  <si>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</si>
  <si>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</si>
  <si>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</si>
  <si>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</si>
  <si>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</si>
  <si>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</si>
  <si>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</si>
  <si>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</si>
  <si>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</si>
  <si>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</si>
  <si>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</si>
  <si>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</si>
  <si>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</si>
  <si>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</si>
  <si>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</si>
  <si>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</si>
  <si>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</si>
  <si>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</si>
  <si>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</si>
  <si>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</si>
  <si>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</si>
  <si>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</si>
  <si>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</si>
  <si>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</si>
  <si>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</si>
  <si>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</si>
  <si>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</si>
  <si>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</si>
  <si>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</si>
  <si>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</si>
  <si>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</si>
  <si>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</si>
  <si>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</si>
  <si>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</si>
  <si>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</si>
  <si>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</si>
  <si>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</si>
  <si>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</si>
  <si>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</si>
  <si>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</si>
  <si>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</si>
  <si>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</si>
  <si>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</si>
  <si>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</si>
  <si>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</si>
  <si>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</si>
  <si>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</si>
  <si>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</si>
  <si>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</si>
  <si>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</si>
  <si>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</si>
  <si>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</si>
  <si>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</si>
  <si>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</si>
  <si>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</si>
  <si>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</si>
  <si>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</si>
  <si>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</si>
  <si>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</si>
  <si>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</si>
  <si>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</si>
  <si>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</si>
  <si>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</si>
  <si>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</si>
  <si>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</si>
  <si>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</si>
  <si>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</si>
  <si>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</si>
  <si>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</si>
  <si>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</si>
  <si>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</si>
  <si>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</si>
  <si>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</si>
  <si>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</si>
  <si>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</si>
  <si>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</si>
  <si>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</si>
  <si>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</si>
  <si>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</si>
  <si>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</si>
  <si>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</si>
  <si>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</si>
  <si>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</si>
  <si>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</si>
  <si>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</si>
  <si>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</si>
  <si>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</si>
  <si>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</si>
  <si>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</si>
  <si>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</si>
  <si>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</si>
  <si>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</si>
  <si>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</si>
  <si>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</si>
  <si>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</si>
  <si>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</si>
  <si>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</si>
  <si>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</si>
  <si>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</si>
  <si>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</si>
  <si>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</si>
  <si>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</si>
  <si>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</si>
  <si>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</si>
  <si>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</si>
  <si>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</si>
  <si>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</si>
  <si>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</si>
  <si>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</si>
  <si>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</si>
  <si>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</si>
  <si>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</si>
  <si>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</si>
  <si>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</si>
  <si>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</si>
  <si>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</si>
  <si>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</si>
  <si>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</si>
  <si>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</si>
  <si>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</si>
  <si>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</si>
  <si>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</si>
  <si>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</si>
  <si>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</si>
  <si>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</si>
  <si>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</si>
  <si>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</si>
  <si>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</si>
  <si>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</si>
  <si>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</si>
  <si>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</si>
  <si>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</si>
  <si>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</si>
  <si>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</si>
  <si>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</si>
  <si>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</si>
  <si>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</si>
  <si>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</si>
  <si>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</si>
  <si>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</si>
  <si>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</si>
  <si>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</si>
  <si>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</si>
  <si>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</si>
  <si>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</si>
  <si>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</si>
  <si>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</si>
  <si>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</si>
  <si>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</si>
  <si>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</si>
  <si>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</si>
  <si>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</si>
  <si>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</si>
  <si>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</si>
  <si>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</si>
  <si>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</si>
  <si>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</si>
  <si>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</si>
  <si>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</si>
  <si>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</si>
  <si>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</si>
  <si>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</si>
  <si>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</si>
  <si>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</si>
  <si>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</si>
  <si>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</si>
  <si>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</si>
  <si>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</si>
  <si>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</si>
  <si>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</si>
  <si>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</si>
  <si>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</si>
  <si>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</si>
  <si>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</si>
  <si>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</si>
  <si>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</si>
  <si>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</si>
  <si>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</si>
  <si>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</si>
  <si>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</si>
  <si>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</si>
  <si>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</si>
  <si>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</si>
  <si>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</si>
  <si>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</si>
  <si>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</si>
  <si>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</si>
  <si>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</si>
  <si>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</si>
  <si>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</si>
  <si>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</si>
  <si>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</si>
  <si>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</si>
  <si>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</si>
  <si>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</si>
  <si>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</si>
  <si>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</si>
  <si>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</si>
  <si>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</si>
  <si>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</si>
  <si>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</si>
  <si>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</si>
  <si>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</si>
  <si>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</si>
  <si>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</si>
  <si>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</si>
  <si>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</si>
  <si>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</si>
  <si>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</si>
  <si>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</si>
  <si>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</si>
  <si>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</si>
  <si>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</si>
  <si>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</si>
  <si>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</si>
  <si>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</si>
  <si>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</si>
  <si>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</si>
  <si>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</si>
  <si>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</si>
  <si>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</si>
  <si>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</si>
  <si>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</si>
  <si>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</si>
  <si>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</si>
  <si>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</si>
  <si>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</si>
  <si>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</si>
  <si>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</si>
  <si>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</si>
  <si>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</si>
  <si>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</si>
  <si>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</si>
  <si>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</si>
  <si>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</si>
  <si>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</si>
  <si>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</si>
  <si>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</si>
  <si>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</si>
  <si>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</si>
  <si>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</si>
  <si>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</si>
  <si>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</si>
  <si>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</si>
  <si>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</si>
  <si>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</si>
  <si>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</si>
  <si>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</si>
  <si>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</si>
  <si>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</si>
  <si>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</si>
  <si>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</si>
  <si>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</si>
  <si>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</si>
  <si>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</si>
  <si>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</si>
  <si>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</si>
  <si>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</si>
  <si>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</si>
  <si>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</si>
  <si>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</si>
  <si>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</si>
  <si>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</si>
  <si>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</si>
  <si>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</si>
  <si>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</si>
  <si>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</si>
  <si>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</si>
  <si>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</si>
  <si>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</si>
  <si>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</si>
  <si>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</si>
  <si>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</si>
  <si>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</si>
  <si>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</si>
  <si>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</si>
  <si>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</si>
  <si>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</si>
  <si>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</si>
  <si>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</si>
  <si>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</si>
  <si>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</si>
  <si>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</si>
  <si>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</si>
  <si>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</si>
  <si>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</si>
  <si>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</si>
  <si>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</si>
  <si>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</si>
  <si>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</si>
  <si>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</si>
  <si>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</si>
  <si>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</si>
  <si>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</si>
  <si>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</si>
  <si>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</si>
  <si>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</si>
  <si>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</si>
  <si>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</si>
  <si>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</si>
  <si>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</si>
  <si>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</si>
  <si>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</si>
  <si>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</si>
  <si>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</si>
  <si>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</si>
  <si>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</si>
  <si>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</si>
  <si>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</si>
  <si>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</si>
  <si>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</si>
  <si>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</si>
  <si>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</si>
  <si>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</si>
  <si>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</si>
  <si>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</si>
  <si>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</si>
  <si>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</si>
  <si>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</si>
  <si>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</si>
  <si>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</si>
  <si>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</si>
  <si>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</si>
  <si>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</si>
  <si>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</si>
  <si>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</si>
  <si>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</si>
  <si>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</si>
  <si>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</si>
  <si>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</si>
  <si>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</si>
  <si>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</si>
  <si>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</si>
  <si>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</si>
  <si>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</si>
  <si>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</si>
  <si>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</si>
  <si>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</si>
  <si>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</si>
  <si>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</si>
  <si>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</si>
  <si>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</si>
  <si>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</si>
  <si>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</si>
  <si>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</si>
  <si>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</si>
  <si>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</si>
  <si>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</si>
  <si>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</si>
  <si>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</si>
  <si>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</si>
  <si>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</si>
  <si>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</si>
  <si>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</si>
  <si>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</si>
  <si>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</si>
  <si>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</si>
  <si>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</si>
  <si>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</si>
  <si>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</si>
  <si>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</si>
  <si>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</si>
  <si>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</si>
  <si>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</si>
  <si>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</si>
  <si>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</si>
  <si>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</si>
  <si>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</si>
  <si>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</si>
  <si>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</si>
  <si>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</si>
  <si>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</si>
  <si>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</si>
  <si>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</si>
  <si>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</si>
  <si>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</si>
  <si>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</si>
  <si>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</si>
  <si>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</si>
  <si>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</si>
  <si>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</si>
  <si>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</si>
  <si>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</si>
  <si>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</si>
  <si>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</si>
  <si>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</si>
  <si>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</si>
  <si>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</si>
  <si>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</si>
  <si>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</si>
  <si>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</si>
  <si>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</si>
  <si>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</si>
  <si>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</si>
  <si>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</si>
  <si>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</si>
  <si>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</si>
  <si>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</si>
  <si>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</si>
  <si>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</si>
  <si>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</si>
  <si>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</si>
  <si>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</si>
  <si>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</si>
  <si>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</si>
  <si>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</si>
  <si>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</si>
  <si>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</si>
  <si>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</si>
  <si>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</si>
  <si>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</si>
  <si>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</si>
  <si>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</si>
  <si>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</si>
  <si>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</si>
  <si>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</si>
  <si>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</si>
  <si>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</si>
  <si>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</si>
  <si>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</si>
  <si>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</si>
  <si>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</si>
  <si>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</si>
  <si>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</si>
  <si>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</si>
  <si>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</si>
  <si>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</si>
  <si>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</si>
  <si>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</si>
  <si>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</si>
  <si>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</si>
  <si>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</si>
  <si>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</si>
  <si>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</si>
  <si>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Fraises</t>
  </si>
  <si>
    <t>Charges opé fraises</t>
  </si>
  <si>
    <t>Charges opé pépi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</si>
</sst>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9">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101719.08333333333</c:v>
                </c:pt>
                <c:pt idx="1">
                  <c:v>95782.916666666657</c:v>
                </c:pt>
                <c:pt idx="2">
                  <c:v>28685.999999999985</c:v>
                </c:pt>
                <c:pt idx="3">
                  <c:v>73011.527777777766</c:v>
                </c:pt>
                <c:pt idx="4">
                  <c:v>79550.305555555547</c:v>
                </c:pt>
                <c:pt idx="5">
                  <c:v>33517.833333333328</c:v>
                </c:pt>
                <c:pt idx="6">
                  <c:v>47255.361111111109</c:v>
                </c:pt>
                <c:pt idx="7">
                  <c:v>48303.138888888891</c:v>
                </c:pt>
                <c:pt idx="8">
                  <c:v>39628.666666666672</c:v>
                </c:pt>
                <c:pt idx="9">
                  <c:v>30954.194444444449</c:v>
                </c:pt>
                <c:pt idx="10">
                  <c:v>23823.972222222226</c:v>
                </c:pt>
                <c:pt idx="11">
                  <c:v>15139.500000000004</c:v>
                </c:pt>
                <c:pt idx="12">
                  <c:v>17399.500000000004</c:v>
                </c:pt>
                <c:pt idx="13">
                  <c:v>16396.166666666672</c:v>
                </c:pt>
                <c:pt idx="14">
                  <c:v>15981.166666666672</c:v>
                </c:pt>
                <c:pt idx="15">
                  <c:v>18319.166666666672</c:v>
                </c:pt>
                <c:pt idx="16">
                  <c:v>19973.666666666672</c:v>
                </c:pt>
                <c:pt idx="17">
                  <c:v>22441.666666666672</c:v>
                </c:pt>
                <c:pt idx="18">
                  <c:v>20954.666666666672</c:v>
                </c:pt>
                <c:pt idx="19">
                  <c:v>18837.166666666672</c:v>
                </c:pt>
                <c:pt idx="20">
                  <c:v>18105.166666666672</c:v>
                </c:pt>
                <c:pt idx="21">
                  <c:v>20848.166666666672</c:v>
                </c:pt>
                <c:pt idx="22">
                  <c:v>19364.666666666672</c:v>
                </c:pt>
                <c:pt idx="23">
                  <c:v>16892.666666666672</c:v>
                </c:pt>
                <c:pt idx="24">
                  <c:v>16849.833333333339</c:v>
                </c:pt>
                <c:pt idx="25">
                  <c:v>12481.333333333339</c:v>
                </c:pt>
                <c:pt idx="26">
                  <c:v>11000.500000000007</c:v>
                </c:pt>
                <c:pt idx="27">
                  <c:v>13327.666666666673</c:v>
                </c:pt>
                <c:pt idx="28">
                  <c:v>13711.833333333339</c:v>
                </c:pt>
                <c:pt idx="29">
                  <c:v>15132.000000000007</c:v>
                </c:pt>
                <c:pt idx="30">
                  <c:v>15805.166666666673</c:v>
                </c:pt>
                <c:pt idx="31">
                  <c:v>14765.333333333339</c:v>
                </c:pt>
                <c:pt idx="32">
                  <c:v>15653.500000000007</c:v>
                </c:pt>
                <c:pt idx="33">
                  <c:v>19040.666666666675</c:v>
                </c:pt>
                <c:pt idx="34">
                  <c:v>15694.833333333343</c:v>
                </c:pt>
                <c:pt idx="35">
                  <c:v>14210.000000000011</c:v>
                </c:pt>
                <c:pt idx="36">
                  <c:v>15200.333333333343</c:v>
                </c:pt>
                <c:pt idx="37">
                  <c:v>10914.500000000009</c:v>
                </c:pt>
                <c:pt idx="38">
                  <c:v>10111.833333333343</c:v>
                </c:pt>
                <c:pt idx="39">
                  <c:v>14335.166666666675</c:v>
                </c:pt>
                <c:pt idx="40">
                  <c:v>15738.000000000007</c:v>
                </c:pt>
                <c:pt idx="41">
                  <c:v>18562.333333333343</c:v>
                </c:pt>
                <c:pt idx="42">
                  <c:v>20982.666666666675</c:v>
                </c:pt>
                <c:pt idx="43">
                  <c:v>20604.500000000007</c:v>
                </c:pt>
                <c:pt idx="44">
                  <c:v>22762.833333333339</c:v>
                </c:pt>
                <c:pt idx="45">
                  <c:v>28046.166666666672</c:v>
                </c:pt>
                <c:pt idx="46">
                  <c:v>24785.000000000007</c:v>
                </c:pt>
                <c:pt idx="47">
                  <c:v>23987.333333333343</c:v>
                </c:pt>
                <c:pt idx="48">
                  <c:v>23290.354166666675</c:v>
                </c:pt>
                <c:pt idx="49">
                  <c:v>18267.520833333339</c:v>
                </c:pt>
                <c:pt idx="50">
                  <c:v>18857.541666666672</c:v>
                </c:pt>
                <c:pt idx="51">
                  <c:v>25533.562500000004</c:v>
                </c:pt>
                <c:pt idx="52">
                  <c:v>28097.020833333336</c:v>
                </c:pt>
                <c:pt idx="53">
                  <c:v>31464.041666666668</c:v>
                </c:pt>
                <c:pt idx="54">
                  <c:v>35697.0625</c:v>
                </c:pt>
                <c:pt idx="55">
                  <c:v>33399.520833333336</c:v>
                </c:pt>
                <c:pt idx="56">
                  <c:v>33870.541666666672</c:v>
                </c:pt>
                <c:pt idx="57">
                  <c:v>37466.5625</c:v>
                </c:pt>
                <c:pt idx="58">
                  <c:v>32286.020833333332</c:v>
                </c:pt>
                <c:pt idx="59">
                  <c:v>29800.041666666664</c:v>
                </c:pt>
                <c:pt idx="60">
                  <c:v>29103.062499999996</c:v>
                </c:pt>
                <c:pt idx="61">
                  <c:v>23922.520833333328</c:v>
                </c:pt>
                <c:pt idx="62">
                  <c:v>24512.541666666661</c:v>
                </c:pt>
                <c:pt idx="63">
                  <c:v>31188.562499999993</c:v>
                </c:pt>
                <c:pt idx="64">
                  <c:v>33752.020833333328</c:v>
                </c:pt>
                <c:pt idx="65">
                  <c:v>37119.041666666657</c:v>
                </c:pt>
                <c:pt idx="66">
                  <c:v>41352.062499999993</c:v>
                </c:pt>
                <c:pt idx="67">
                  <c:v>39054.520833333328</c:v>
                </c:pt>
                <c:pt idx="68">
                  <c:v>39525.541666666657</c:v>
                </c:pt>
                <c:pt idx="69">
                  <c:v>43121.562499999985</c:v>
                </c:pt>
                <c:pt idx="70">
                  <c:v>37941.020833333321</c:v>
                </c:pt>
                <c:pt idx="71">
                  <c:v>35455.041666666657</c:v>
                </c:pt>
                <c:pt idx="72">
                  <c:v>34758.062499999985</c:v>
                </c:pt>
                <c:pt idx="73">
                  <c:v>29577.520833333318</c:v>
                </c:pt>
                <c:pt idx="74">
                  <c:v>30167.54166666665</c:v>
                </c:pt>
                <c:pt idx="75">
                  <c:v>36843.562499999985</c:v>
                </c:pt>
                <c:pt idx="76">
                  <c:v>39407.020833333314</c:v>
                </c:pt>
                <c:pt idx="77">
                  <c:v>42774.041666666642</c:v>
                </c:pt>
                <c:pt idx="78">
                  <c:v>47007.062499999978</c:v>
                </c:pt>
                <c:pt idx="79">
                  <c:v>44709.520833333314</c:v>
                </c:pt>
                <c:pt idx="80">
                  <c:v>45180.541666666642</c:v>
                </c:pt>
                <c:pt idx="81">
                  <c:v>48776.562499999971</c:v>
                </c:pt>
                <c:pt idx="82">
                  <c:v>43596.020833333307</c:v>
                </c:pt>
                <c:pt idx="83">
                  <c:v>41110.041666666642</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1201080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BD659850-17EB-448E-8D83-BC417803DE3A}"/>
            </a:ext>
          </a:extLst>
        </xdr:cNvPr>
        <xdr:cNvSpPr/>
      </xdr:nvSpPr>
      <xdr:spPr>
        <a:xfrm>
          <a:off x="160798" y="1046679"/>
          <a:ext cx="2052000" cy="122112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C4BA0703-27A5-48A4-BF2C-B1DED94DDAD7}"/>
            </a:ext>
          </a:extLst>
        </xdr:cNvPr>
        <xdr:cNvSpPr/>
      </xdr:nvSpPr>
      <xdr:spPr>
        <a:xfrm>
          <a:off x="160785" y="2486025"/>
          <a:ext cx="2052000"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1902510-6DAE-4A32-B53B-D09E02C9DD0A}"/>
            </a:ext>
          </a:extLst>
        </xdr:cNvPr>
        <xdr:cNvSpPr/>
      </xdr:nvSpPr>
      <xdr:spPr>
        <a:xfrm>
          <a:off x="135456" y="9874251"/>
          <a:ext cx="2055810" cy="112385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1B16285A-8386-414C-8419-FC1FBC71DDC5}"/>
            </a:ext>
          </a:extLst>
        </xdr:cNvPr>
        <xdr:cNvSpPr/>
      </xdr:nvSpPr>
      <xdr:spPr>
        <a:xfrm>
          <a:off x="135363" y="11062665"/>
          <a:ext cx="2055810" cy="110689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F2FD1EDF-C5F6-444B-929E-6381142D104A}"/>
            </a:ext>
          </a:extLst>
        </xdr:cNvPr>
        <xdr:cNvSpPr/>
      </xdr:nvSpPr>
      <xdr:spPr>
        <a:xfrm>
          <a:off x="143949" y="12234240"/>
          <a:ext cx="2048190" cy="91243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CC06EC6-B90E-4285-ACB6-D8BD283506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3470" cy="59065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4.xml"/><Relationship Id="rId1" Type="http://schemas.openxmlformats.org/officeDocument/2006/relationships/printerSettings" Target="../printerSettings/printerSettings16.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60" zoomScaleNormal="60" workbookViewId="0">
      <selection activeCell="AB32" sqref="AB32"/>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7" t="s">
        <v>0</v>
      </c>
      <c r="C2" s="838"/>
      <c r="D2" s="838"/>
      <c r="E2" s="838"/>
      <c r="F2" s="838"/>
      <c r="G2" s="838"/>
      <c r="H2" s="838"/>
      <c r="I2" s="838"/>
      <c r="J2" s="838"/>
      <c r="K2" s="838"/>
      <c r="L2" s="838"/>
      <c r="M2" s="838"/>
      <c r="N2" s="838"/>
      <c r="O2" s="838"/>
      <c r="P2" s="838"/>
      <c r="Q2" s="838"/>
      <c r="R2" s="838"/>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2033</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4" t="s">
        <v>363</v>
      </c>
      <c r="C6" s="834"/>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8" t="s">
        <v>2</v>
      </c>
      <c r="E7" s="829"/>
      <c r="F7" s="828" t="s">
        <v>426</v>
      </c>
      <c r="G7" s="829"/>
      <c r="H7" s="828" t="s">
        <v>3</v>
      </c>
      <c r="I7" s="829"/>
      <c r="J7" s="828" t="s">
        <v>529</v>
      </c>
      <c r="K7" s="829"/>
      <c r="L7" s="828" t="s">
        <v>530</v>
      </c>
      <c r="M7" s="829"/>
      <c r="N7" s="839" t="s">
        <v>531</v>
      </c>
      <c r="O7" s="829"/>
      <c r="P7" s="828" t="s">
        <v>4</v>
      </c>
      <c r="Q7" s="829"/>
      <c r="R7" s="778"/>
      <c r="S7" s="763"/>
      <c r="T7" s="763"/>
      <c r="U7" s="763"/>
      <c r="V7" s="835"/>
      <c r="W7" s="835"/>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0" t="s">
        <v>550</v>
      </c>
      <c r="E8" s="831"/>
      <c r="F8" s="830"/>
      <c r="G8" s="831"/>
      <c r="H8" s="830"/>
      <c r="I8" s="831"/>
      <c r="J8" s="830">
        <v>47</v>
      </c>
      <c r="K8" s="831"/>
      <c r="L8" s="830"/>
      <c r="M8" s="831"/>
      <c r="N8" s="830"/>
      <c r="O8" s="831"/>
      <c r="P8" s="830"/>
      <c r="Q8" s="831"/>
      <c r="R8" s="781"/>
      <c r="S8" s="782"/>
      <c r="T8" s="782"/>
      <c r="U8" s="782"/>
      <c r="V8" s="836"/>
      <c r="W8" s="836"/>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6"/>
      <c r="E9" s="827"/>
      <c r="F9" s="826"/>
      <c r="G9" s="827"/>
      <c r="H9" s="826"/>
      <c r="I9" s="827"/>
      <c r="J9" s="826"/>
      <c r="K9" s="827"/>
      <c r="L9" s="826"/>
      <c r="M9" s="827"/>
      <c r="N9" s="826"/>
      <c r="O9" s="827"/>
      <c r="P9" s="826"/>
      <c r="Q9" s="827"/>
      <c r="R9" s="781"/>
      <c r="S9" s="782"/>
      <c r="T9" s="782"/>
      <c r="U9" s="782"/>
      <c r="V9" s="836"/>
      <c r="W9" s="836"/>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6"/>
      <c r="E10" s="827"/>
      <c r="F10" s="826"/>
      <c r="G10" s="827"/>
      <c r="H10" s="826"/>
      <c r="I10" s="827"/>
      <c r="J10" s="826"/>
      <c r="K10" s="827"/>
      <c r="L10" s="826"/>
      <c r="M10" s="827"/>
      <c r="N10" s="826"/>
      <c r="O10" s="827"/>
      <c r="P10" s="826"/>
      <c r="Q10" s="827"/>
      <c r="R10" s="781"/>
      <c r="S10" s="782"/>
      <c r="T10" s="782"/>
      <c r="U10" s="782"/>
      <c r="V10" s="836"/>
      <c r="W10" s="836"/>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6"/>
      <c r="E11" s="827"/>
      <c r="F11" s="826"/>
      <c r="G11" s="827"/>
      <c r="H11" s="826"/>
      <c r="I11" s="827"/>
      <c r="J11" s="826"/>
      <c r="K11" s="827"/>
      <c r="L11" s="826"/>
      <c r="M11" s="827"/>
      <c r="N11" s="826"/>
      <c r="O11" s="827"/>
      <c r="P11" s="826"/>
      <c r="Q11" s="827"/>
      <c r="R11" s="781"/>
      <c r="S11" s="782"/>
      <c r="T11" s="782"/>
      <c r="U11" s="782"/>
      <c r="V11" s="836"/>
      <c r="W11" s="836"/>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6"/>
      <c r="E12" s="827"/>
      <c r="F12" s="826"/>
      <c r="G12" s="827"/>
      <c r="H12" s="826"/>
      <c r="I12" s="827"/>
      <c r="J12" s="826"/>
      <c r="K12" s="827"/>
      <c r="L12" s="826"/>
      <c r="M12" s="827"/>
      <c r="N12" s="826"/>
      <c r="O12" s="827"/>
      <c r="P12" s="826"/>
      <c r="Q12" s="827"/>
      <c r="R12" s="781"/>
      <c r="S12" s="782"/>
      <c r="T12" s="782"/>
      <c r="U12" s="782"/>
      <c r="V12" s="836"/>
      <c r="W12" s="836"/>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6"/>
      <c r="E13" s="827"/>
      <c r="F13" s="826"/>
      <c r="G13" s="827"/>
      <c r="H13" s="826"/>
      <c r="I13" s="827"/>
      <c r="J13" s="826"/>
      <c r="K13" s="827"/>
      <c r="L13" s="826"/>
      <c r="M13" s="827"/>
      <c r="N13" s="826"/>
      <c r="O13" s="827"/>
      <c r="P13" s="826"/>
      <c r="Q13" s="827"/>
      <c r="R13" s="781"/>
      <c r="S13" s="782"/>
      <c r="T13" s="782"/>
      <c r="U13" s="782"/>
      <c r="V13" s="836"/>
      <c r="W13" s="836"/>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6"/>
      <c r="E14" s="827"/>
      <c r="F14" s="826"/>
      <c r="G14" s="827"/>
      <c r="H14" s="826"/>
      <c r="I14" s="827"/>
      <c r="J14" s="826"/>
      <c r="K14" s="827"/>
      <c r="L14" s="826"/>
      <c r="M14" s="827"/>
      <c r="N14" s="826"/>
      <c r="O14" s="827"/>
      <c r="P14" s="826"/>
      <c r="Q14" s="827"/>
      <c r="R14" s="781"/>
      <c r="S14" s="782"/>
      <c r="T14" s="782"/>
      <c r="U14" s="782"/>
      <c r="V14" s="836"/>
      <c r="W14" s="836"/>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6"/>
      <c r="E15" s="827"/>
      <c r="F15" s="826"/>
      <c r="G15" s="827"/>
      <c r="H15" s="826"/>
      <c r="I15" s="827"/>
      <c r="J15" s="826"/>
      <c r="K15" s="827"/>
      <c r="L15" s="826"/>
      <c r="M15" s="827"/>
      <c r="N15" s="826"/>
      <c r="O15" s="827"/>
      <c r="P15" s="826"/>
      <c r="Q15" s="827"/>
      <c r="R15" s="781"/>
      <c r="S15" s="782"/>
      <c r="T15" s="782"/>
      <c r="U15" s="782"/>
      <c r="V15" s="836"/>
      <c r="W15" s="836"/>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6"/>
      <c r="E16" s="827"/>
      <c r="F16" s="826"/>
      <c r="G16" s="827"/>
      <c r="H16" s="826"/>
      <c r="I16" s="827"/>
      <c r="J16" s="826"/>
      <c r="K16" s="827"/>
      <c r="L16" s="826"/>
      <c r="M16" s="827"/>
      <c r="N16" s="826"/>
      <c r="O16" s="827"/>
      <c r="P16" s="826"/>
      <c r="Q16" s="827"/>
      <c r="R16" s="781"/>
      <c r="S16" s="782"/>
      <c r="T16" s="782"/>
      <c r="U16" s="782"/>
      <c r="V16" s="836"/>
      <c r="W16" s="836"/>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6"/>
      <c r="E17" s="827"/>
      <c r="F17" s="826"/>
      <c r="G17" s="827"/>
      <c r="H17" s="826"/>
      <c r="I17" s="827"/>
      <c r="J17" s="826"/>
      <c r="K17" s="827"/>
      <c r="L17" s="826"/>
      <c r="M17" s="827"/>
      <c r="N17" s="826"/>
      <c r="O17" s="827"/>
      <c r="P17" s="826"/>
      <c r="Q17" s="827"/>
      <c r="R17" s="781"/>
      <c r="S17" s="782"/>
      <c r="T17" s="782"/>
      <c r="U17" s="782"/>
      <c r="V17" s="836"/>
      <c r="W17" s="836"/>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6"/>
      <c r="E18" s="827"/>
      <c r="F18" s="826"/>
      <c r="G18" s="827"/>
      <c r="H18" s="826"/>
      <c r="I18" s="827"/>
      <c r="J18" s="826"/>
      <c r="K18" s="827"/>
      <c r="L18" s="826"/>
      <c r="M18" s="827"/>
      <c r="N18" s="826"/>
      <c r="O18" s="827"/>
      <c r="P18" s="826"/>
      <c r="Q18" s="827"/>
      <c r="R18" s="781"/>
      <c r="S18" s="782"/>
      <c r="T18" s="782"/>
      <c r="U18" s="782"/>
      <c r="V18" s="836"/>
      <c r="W18" s="836"/>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6"/>
      <c r="E19" s="827"/>
      <c r="F19" s="826"/>
      <c r="G19" s="827"/>
      <c r="H19" s="826"/>
      <c r="I19" s="827"/>
      <c r="J19" s="826"/>
      <c r="K19" s="827"/>
      <c r="L19" s="826"/>
      <c r="M19" s="827"/>
      <c r="N19" s="826"/>
      <c r="O19" s="827"/>
      <c r="P19" s="826"/>
      <c r="Q19" s="827"/>
      <c r="R19" s="781"/>
      <c r="S19" s="782"/>
      <c r="T19" s="782"/>
      <c r="U19" s="782"/>
      <c r="V19" s="836"/>
      <c r="W19" s="836"/>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6"/>
      <c r="E20" s="827"/>
      <c r="F20" s="826"/>
      <c r="G20" s="827"/>
      <c r="H20" s="826"/>
      <c r="I20" s="827"/>
      <c r="J20" s="826"/>
      <c r="K20" s="827"/>
      <c r="L20" s="826"/>
      <c r="M20" s="827"/>
      <c r="N20" s="826"/>
      <c r="O20" s="827"/>
      <c r="P20" s="826"/>
      <c r="Q20" s="827"/>
      <c r="R20" s="781"/>
      <c r="S20" s="782"/>
      <c r="T20" s="782"/>
      <c r="U20" s="782"/>
      <c r="V20" s="836"/>
      <c r="W20" s="836"/>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6"/>
      <c r="E21" s="827"/>
      <c r="F21" s="826"/>
      <c r="G21" s="827"/>
      <c r="H21" s="826"/>
      <c r="I21" s="827"/>
      <c r="J21" s="826"/>
      <c r="K21" s="827"/>
      <c r="L21" s="826"/>
      <c r="M21" s="827"/>
      <c r="N21" s="826"/>
      <c r="O21" s="827"/>
      <c r="P21" s="826"/>
      <c r="Q21" s="827"/>
      <c r="R21" s="781"/>
      <c r="S21" s="782"/>
      <c r="T21" s="782"/>
      <c r="U21" s="782"/>
      <c r="V21" s="836"/>
      <c r="W21" s="836"/>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2"/>
      <c r="E22" s="833"/>
      <c r="F22" s="832"/>
      <c r="G22" s="833"/>
      <c r="H22" s="832"/>
      <c r="I22" s="833"/>
      <c r="J22" s="832"/>
      <c r="K22" s="833"/>
      <c r="L22" s="832"/>
      <c r="M22" s="833"/>
      <c r="N22" s="832"/>
      <c r="O22" s="833"/>
      <c r="P22" s="832"/>
      <c r="Q22" s="833"/>
      <c r="R22" s="781"/>
      <c r="S22" s="782"/>
      <c r="T22" s="782"/>
      <c r="U22" s="782"/>
      <c r="V22" s="836"/>
      <c r="W22" s="836"/>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4" t="s">
        <v>362</v>
      </c>
      <c r="C25" s="834"/>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2"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t="s">
        <v>582</v>
      </c>
      <c r="D32" s="312">
        <v>0</v>
      </c>
      <c r="E32" s="459" t="s">
        <v>444</v>
      </c>
      <c r="F32" s="312">
        <v>0</v>
      </c>
      <c r="G32" s="784" t="str">
        <f>IF($E$32="","",$E$32)</f>
        <v>Kg</v>
      </c>
      <c r="H32" s="785">
        <f t="shared" si="1"/>
        <v>0</v>
      </c>
      <c r="I32" s="786" t="str">
        <f>IF($E$32="","",$E$32)</f>
        <v>Kg</v>
      </c>
      <c r="J32" s="312">
        <v>0</v>
      </c>
      <c r="K32" s="784" t="str">
        <f>IF($E$32="","",$E$32)</f>
        <v>Kg</v>
      </c>
      <c r="L32" s="312">
        <v>0</v>
      </c>
      <c r="M32" s="784" t="str">
        <f>IF($E$32="","",$E$32)</f>
        <v>Kg</v>
      </c>
      <c r="N32" s="785">
        <f t="shared" si="4"/>
        <v>0</v>
      </c>
      <c r="O32" s="786" t="str">
        <f>IF($E$32="","",$E$32)</f>
        <v>Kg</v>
      </c>
      <c r="P32" s="312">
        <v>0</v>
      </c>
      <c r="Q32" s="784" t="str">
        <f>IF($E$32="","",$E$32)</f>
        <v>Kg</v>
      </c>
      <c r="R32" s="312">
        <v>0</v>
      </c>
      <c r="S32" s="784" t="str">
        <f>IF($E$32="","",$E$32)</f>
        <v>Kg</v>
      </c>
      <c r="T32" s="785">
        <f t="shared" si="6"/>
        <v>0</v>
      </c>
      <c r="U32" s="786" t="str">
        <f>IF($E$32="","",$E$32)</f>
        <v>Kg</v>
      </c>
      <c r="V32" s="312">
        <v>0</v>
      </c>
      <c r="W32" s="784" t="str">
        <f>IF($E$32="","",$E$32)</f>
        <v>Kg</v>
      </c>
      <c r="X32" s="312">
        <v>0</v>
      </c>
      <c r="Y32" s="784" t="str">
        <f>IF($E$32="","",$E$32)</f>
        <v>Kg</v>
      </c>
      <c r="Z32" s="785">
        <f t="shared" si="8"/>
        <v>0</v>
      </c>
      <c r="AA32" s="786" t="str">
        <f>IF($E$32="","",$E$32)</f>
        <v>Kg</v>
      </c>
      <c r="AB32" s="312">
        <v>1100</v>
      </c>
      <c r="AC32" s="784" t="str">
        <f>IF($E$32="","",$E$32)</f>
        <v>Kg</v>
      </c>
      <c r="AD32" s="312">
        <v>1100</v>
      </c>
      <c r="AE32" s="784" t="str">
        <f>IF($E$32="","",$E$32)</f>
        <v>Kg</v>
      </c>
      <c r="AF32" s="785">
        <f t="shared" si="11"/>
        <v>0</v>
      </c>
      <c r="AG32" s="786" t="str">
        <f>IF($E$32="","",$E$32)</f>
        <v>Kg</v>
      </c>
      <c r="AH32" s="312">
        <f>AB32</f>
        <v>1100</v>
      </c>
      <c r="AI32" s="784" t="str">
        <f>IF($E$32="","",$E$32)</f>
        <v>Kg</v>
      </c>
      <c r="AJ32" s="760">
        <f>AH32</f>
        <v>1100</v>
      </c>
      <c r="AK32" s="784" t="str">
        <f>IF($E$32="","",$E$32)</f>
        <v>Kg</v>
      </c>
      <c r="AL32" s="785">
        <f t="shared" si="14"/>
        <v>0</v>
      </c>
      <c r="AM32" s="786" t="str">
        <f>IF($E$32="","",$E$32)</f>
        <v>Kg</v>
      </c>
      <c r="AN32" s="312">
        <f>AH32</f>
        <v>1100</v>
      </c>
      <c r="AO32" s="784" t="str">
        <f>IF($E$32="","",$E$32)</f>
        <v>Kg</v>
      </c>
      <c r="AP32" s="760">
        <f t="shared" si="16"/>
        <v>1100</v>
      </c>
      <c r="AQ32" s="784" t="str">
        <f>IF($E$32="","",$E$32)</f>
        <v>Kg</v>
      </c>
      <c r="AR32" s="785">
        <f t="shared" si="17"/>
        <v>0</v>
      </c>
      <c r="AS32" s="786" t="str">
        <f>IF($E$32="","",$E$32)</f>
        <v>Kg</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C25" zoomScale="80" zoomScaleNormal="80" workbookViewId="0">
      <selection activeCell="AB52" sqref="AB52"/>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3" t="s">
        <v>19</v>
      </c>
      <c r="C2" s="904"/>
      <c r="D2" s="904"/>
      <c r="E2" s="904"/>
      <c r="F2" s="904"/>
      <c r="G2" s="904"/>
      <c r="H2" s="904"/>
      <c r="I2" s="904"/>
      <c r="J2" s="904"/>
      <c r="K2" s="904"/>
      <c r="L2" s="904"/>
      <c r="M2" s="904"/>
      <c r="N2" s="904"/>
      <c r="O2" s="904"/>
      <c r="P2" s="904"/>
      <c r="Q2" s="904"/>
      <c r="R2" s="904"/>
      <c r="S2" s="904"/>
      <c r="T2" s="904"/>
      <c r="U2" s="904"/>
      <c r="V2" s="904"/>
      <c r="W2" s="904"/>
      <c r="X2" s="904"/>
      <c r="Y2" s="904"/>
      <c r="Z2" s="904"/>
      <c r="AA2" s="904"/>
      <c r="AB2" s="904"/>
      <c r="AC2" s="904"/>
      <c r="AD2" s="904"/>
      <c r="AE2" s="904"/>
      <c r="AF2" s="904"/>
      <c r="AG2" s="904"/>
      <c r="AH2" s="904"/>
      <c r="AI2" s="904"/>
      <c r="AJ2" s="904"/>
      <c r="AK2" s="904"/>
      <c r="AL2" s="904"/>
      <c r="AM2" s="904"/>
      <c r="AN2" s="905"/>
    </row>
    <row r="3" spans="2:42" ht="14.25">
      <c r="H3" s="465"/>
      <c r="I3" s="465"/>
      <c r="J3" s="465"/>
    </row>
    <row r="4" spans="2:42" ht="36.75" customHeight="1">
      <c r="B4" s="906" t="s">
        <v>20</v>
      </c>
      <c r="C4" s="907"/>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8" t="s">
        <v>22</v>
      </c>
      <c r="D6" s="909"/>
      <c r="E6" s="912"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0"/>
      <c r="D7" s="911"/>
      <c r="E7" s="913"/>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3" si="23">AA10</f>
        <v>20.5</v>
      </c>
      <c r="AG10" s="487">
        <f t="shared" si="10"/>
        <v>1691.25</v>
      </c>
      <c r="AH10" s="483">
        <f t="shared" ref="AH10:AH30" si="24">AE10*AF10</f>
        <v>30750</v>
      </c>
      <c r="AI10" s="484">
        <f t="shared" si="11"/>
        <v>32441.25</v>
      </c>
      <c r="AJ10" s="808">
        <f>'données TK'!AP29</f>
        <v>1500</v>
      </c>
      <c r="AK10" s="683">
        <f t="shared" ref="AK10:AK13"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Fraises</v>
      </c>
      <c r="D13" s="481"/>
      <c r="E13" s="462">
        <v>5.5E-2</v>
      </c>
      <c r="F13" s="804">
        <f>'données TK'!F32</f>
        <v>0</v>
      </c>
      <c r="G13" s="683">
        <v>14</v>
      </c>
      <c r="H13" s="482">
        <f t="shared" si="0"/>
        <v>0</v>
      </c>
      <c r="I13" s="483">
        <f t="shared" si="14"/>
        <v>0</v>
      </c>
      <c r="J13" s="484">
        <f t="shared" si="1"/>
        <v>0</v>
      </c>
      <c r="K13" s="804">
        <f>'données TK'!L32</f>
        <v>0</v>
      </c>
      <c r="L13" s="683">
        <f>G13</f>
        <v>14</v>
      </c>
      <c r="M13" s="482">
        <f t="shared" si="2"/>
        <v>0</v>
      </c>
      <c r="N13" s="485">
        <f t="shared" si="16"/>
        <v>0</v>
      </c>
      <c r="O13" s="486">
        <f t="shared" si="3"/>
        <v>0</v>
      </c>
      <c r="P13" s="805">
        <f>'données TK'!R32</f>
        <v>0</v>
      </c>
      <c r="Q13" s="683">
        <f>G13</f>
        <v>14</v>
      </c>
      <c r="R13" s="487">
        <f t="shared" si="4"/>
        <v>0</v>
      </c>
      <c r="S13" s="485">
        <f t="shared" si="18"/>
        <v>0</v>
      </c>
      <c r="T13" s="488">
        <f t="shared" si="5"/>
        <v>0</v>
      </c>
      <c r="U13" s="806">
        <f>'données TK'!X32</f>
        <v>0</v>
      </c>
      <c r="V13" s="683">
        <f>Q13</f>
        <v>14</v>
      </c>
      <c r="W13" s="487">
        <f t="shared" si="6"/>
        <v>0</v>
      </c>
      <c r="X13" s="485">
        <f t="shared" si="20"/>
        <v>0</v>
      </c>
      <c r="Y13" s="486">
        <f t="shared" si="7"/>
        <v>0</v>
      </c>
      <c r="Z13" s="805">
        <f>'données TK'!AD32</f>
        <v>1100</v>
      </c>
      <c r="AA13" s="683">
        <f>V13</f>
        <v>14</v>
      </c>
      <c r="AB13" s="487">
        <f t="shared" si="8"/>
        <v>847</v>
      </c>
      <c r="AC13" s="485">
        <f t="shared" si="22"/>
        <v>15400</v>
      </c>
      <c r="AD13" s="488">
        <f t="shared" si="9"/>
        <v>16247</v>
      </c>
      <c r="AE13" s="806">
        <f>'données TK'!AJ32</f>
        <v>1100</v>
      </c>
      <c r="AF13" s="683">
        <f t="shared" si="23"/>
        <v>14</v>
      </c>
      <c r="AG13" s="487">
        <f t="shared" si="10"/>
        <v>847</v>
      </c>
      <c r="AH13" s="483">
        <f t="shared" si="24"/>
        <v>15400</v>
      </c>
      <c r="AI13" s="484">
        <f t="shared" si="11"/>
        <v>16247</v>
      </c>
      <c r="AJ13" s="808">
        <f>'données TK'!AP32</f>
        <v>1100</v>
      </c>
      <c r="AK13" s="683">
        <f t="shared" si="25"/>
        <v>14</v>
      </c>
      <c r="AL13" s="482">
        <f t="shared" si="12"/>
        <v>847</v>
      </c>
      <c r="AM13" s="483">
        <f t="shared" si="26"/>
        <v>15400</v>
      </c>
      <c r="AN13" s="484">
        <f t="shared" si="13"/>
        <v>16247</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5728.25</v>
      </c>
      <c r="AC31" s="497">
        <f>SUM(AC9:AC30)</f>
        <v>106150</v>
      </c>
      <c r="AD31" s="497">
        <f>SUM(AD9:AD30)</f>
        <v>111878.25</v>
      </c>
      <c r="AE31" s="495"/>
      <c r="AF31" s="496"/>
      <c r="AG31" s="500">
        <f>SUM(AG9:AG30)</f>
        <v>5728.25</v>
      </c>
      <c r="AH31" s="500">
        <f>SUM(AH9:AH30)</f>
        <v>106150</v>
      </c>
      <c r="AI31" s="500">
        <f>SUM(AI9:AI30)</f>
        <v>111878.25</v>
      </c>
      <c r="AJ31" s="495"/>
      <c r="AK31" s="496"/>
      <c r="AL31" s="501">
        <f>SUM(AL9:AL30)</f>
        <v>5728.25</v>
      </c>
      <c r="AM31" s="501">
        <f>SUM(AM9:AM30)</f>
        <v>106150</v>
      </c>
      <c r="AN31" s="502">
        <f>SUM(AN9:AN30)</f>
        <v>111878.25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4"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5"/>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2" t="s">
        <v>35</v>
      </c>
      <c r="C37" s="902"/>
      <c r="D37" s="902"/>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2" t="s">
        <v>35</v>
      </c>
      <c r="C38" s="902"/>
      <c r="D38" s="902"/>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1" t="s">
        <v>32</v>
      </c>
      <c r="C39" s="901"/>
      <c r="D39" s="901"/>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1" t="s">
        <v>33</v>
      </c>
      <c r="C40" s="901"/>
      <c r="D40" s="901"/>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1" t="s">
        <v>34</v>
      </c>
      <c r="C41" s="901"/>
      <c r="D41" s="901"/>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3" t="s">
        <v>36</v>
      </c>
      <c r="C42" s="893"/>
      <c r="D42" s="893"/>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3" t="s">
        <v>37</v>
      </c>
      <c r="C43" s="893"/>
      <c r="D43" s="893"/>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3" t="s">
        <v>38</v>
      </c>
      <c r="C44" s="893"/>
      <c r="D44" s="893"/>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3" t="s">
        <v>551</v>
      </c>
      <c r="C45" s="893"/>
      <c r="D45" s="893"/>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3" t="s">
        <v>40</v>
      </c>
      <c r="C46" s="893"/>
      <c r="D46" s="893"/>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3" t="s">
        <v>41</v>
      </c>
      <c r="C47" s="893"/>
      <c r="D47" s="893"/>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3" t="s">
        <v>42</v>
      </c>
      <c r="C48" s="893"/>
      <c r="D48" s="893"/>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3" t="s">
        <v>43</v>
      </c>
      <c r="C49" s="893"/>
      <c r="D49" s="893"/>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3" t="s">
        <v>44</v>
      </c>
      <c r="C50" s="893"/>
      <c r="D50" s="893"/>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3" t="s">
        <v>45</v>
      </c>
      <c r="C51" s="893"/>
      <c r="D51" s="893"/>
      <c r="E51" s="316">
        <v>0</v>
      </c>
      <c r="F51" s="525"/>
      <c r="G51" s="526"/>
      <c r="H51" s="318">
        <v>0</v>
      </c>
      <c r="I51" s="521">
        <f t="shared" si="39"/>
        <v>0</v>
      </c>
      <c r="J51" s="522">
        <f>H51+(H51*E51)</f>
        <v>0</v>
      </c>
      <c r="K51" s="527"/>
      <c r="L51" s="524"/>
      <c r="M51" s="318">
        <v>4240</v>
      </c>
      <c r="N51" s="521">
        <f t="shared" si="27"/>
        <v>0</v>
      </c>
      <c r="O51" s="522">
        <f>M51+(M51*E51)</f>
        <v>4240</v>
      </c>
      <c r="P51" s="527"/>
      <c r="Q51" s="524"/>
      <c r="R51" s="318">
        <v>4240</v>
      </c>
      <c r="S51" s="521">
        <f t="shared" si="29"/>
        <v>0</v>
      </c>
      <c r="T51" s="522">
        <f>R51+(R51*E51)</f>
        <v>4240</v>
      </c>
      <c r="U51" s="527"/>
      <c r="V51" s="524"/>
      <c r="W51" s="318">
        <v>4240</v>
      </c>
      <c r="X51" s="521">
        <f t="shared" si="31"/>
        <v>0</v>
      </c>
      <c r="Y51" s="522">
        <f>W51+(W51*E51)</f>
        <v>4240</v>
      </c>
      <c r="Z51" s="527"/>
      <c r="AA51" s="524"/>
      <c r="AB51" s="318">
        <v>2550</v>
      </c>
      <c r="AC51" s="521">
        <f t="shared" si="33"/>
        <v>0</v>
      </c>
      <c r="AD51" s="522">
        <f>AB51+(AB51*E51)</f>
        <v>2550</v>
      </c>
      <c r="AE51" s="527"/>
      <c r="AF51" s="524"/>
      <c r="AG51" s="318">
        <f t="shared" si="43"/>
        <v>2550</v>
      </c>
      <c r="AH51" s="521">
        <f t="shared" si="35"/>
        <v>0</v>
      </c>
      <c r="AI51" s="522">
        <f>AG51+(AG51*E51)</f>
        <v>2550</v>
      </c>
      <c r="AJ51" s="527"/>
      <c r="AK51" s="524"/>
      <c r="AL51" s="318">
        <f t="shared" si="44"/>
        <v>2550</v>
      </c>
      <c r="AM51" s="521">
        <f t="shared" si="37"/>
        <v>0</v>
      </c>
      <c r="AN51" s="522">
        <f>AL51+(AL51*E51)</f>
        <v>2550</v>
      </c>
      <c r="AO51" s="433"/>
      <c r="AP51" s="468"/>
    </row>
    <row r="52" spans="2:42" ht="14.25">
      <c r="B52" s="893" t="s">
        <v>46</v>
      </c>
      <c r="C52" s="893"/>
      <c r="D52" s="893"/>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v>7000</v>
      </c>
      <c r="AC52" s="521">
        <f t="shared" si="33"/>
        <v>700</v>
      </c>
      <c r="AD52" s="522">
        <f t="shared" si="34"/>
        <v>7700</v>
      </c>
      <c r="AE52" s="527"/>
      <c r="AF52" s="524"/>
      <c r="AG52" s="318">
        <f t="shared" si="43"/>
        <v>7000</v>
      </c>
      <c r="AH52" s="521">
        <f t="shared" si="35"/>
        <v>700</v>
      </c>
      <c r="AI52" s="522">
        <f t="shared" si="36"/>
        <v>7700</v>
      </c>
      <c r="AJ52" s="527"/>
      <c r="AK52" s="524"/>
      <c r="AL52" s="318">
        <f t="shared" si="44"/>
        <v>7000</v>
      </c>
      <c r="AM52" s="521">
        <f t="shared" si="37"/>
        <v>700</v>
      </c>
      <c r="AN52" s="522">
        <f t="shared" si="38"/>
        <v>7700</v>
      </c>
      <c r="AO52" s="433"/>
      <c r="AP52" s="468"/>
    </row>
    <row r="53" spans="2:42" ht="14.25">
      <c r="B53" s="893" t="s">
        <v>47</v>
      </c>
      <c r="C53" s="893"/>
      <c r="D53" s="893"/>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3" t="s">
        <v>48</v>
      </c>
      <c r="C54" s="893"/>
      <c r="D54" s="893"/>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3" t="s">
        <v>583</v>
      </c>
      <c r="C55" s="893"/>
      <c r="D55" s="893"/>
      <c r="E55" s="316">
        <v>0.2</v>
      </c>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v>2000</v>
      </c>
      <c r="AC55" s="521">
        <f t="shared" si="33"/>
        <v>400</v>
      </c>
      <c r="AD55" s="522">
        <f t="shared" si="34"/>
        <v>2400</v>
      </c>
      <c r="AE55" s="527"/>
      <c r="AF55" s="524"/>
      <c r="AG55" s="318">
        <f>AB55</f>
        <v>2000</v>
      </c>
      <c r="AH55" s="521">
        <f t="shared" si="35"/>
        <v>400</v>
      </c>
      <c r="AI55" s="522">
        <f t="shared" si="36"/>
        <v>2400</v>
      </c>
      <c r="AJ55" s="527"/>
      <c r="AK55" s="524"/>
      <c r="AL55" s="318">
        <f>AG55</f>
        <v>2000</v>
      </c>
      <c r="AM55" s="521">
        <f t="shared" si="37"/>
        <v>400</v>
      </c>
      <c r="AN55" s="522">
        <f t="shared" si="38"/>
        <v>2400</v>
      </c>
      <c r="AO55" s="433"/>
      <c r="AP55" s="468"/>
    </row>
    <row r="56" spans="2:42" ht="14.25">
      <c r="B56" s="893" t="s">
        <v>584</v>
      </c>
      <c r="C56" s="893"/>
      <c r="D56" s="893"/>
      <c r="E56" s="316">
        <v>0.2</v>
      </c>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v>830</v>
      </c>
      <c r="AC56" s="521">
        <f t="shared" si="33"/>
        <v>166</v>
      </c>
      <c r="AD56" s="522">
        <f t="shared" si="34"/>
        <v>996</v>
      </c>
      <c r="AE56" s="527"/>
      <c r="AF56" s="524"/>
      <c r="AG56" s="318">
        <f>AB56</f>
        <v>830</v>
      </c>
      <c r="AH56" s="521">
        <f t="shared" si="35"/>
        <v>166</v>
      </c>
      <c r="AI56" s="522">
        <f t="shared" si="36"/>
        <v>996</v>
      </c>
      <c r="AJ56" s="527"/>
      <c r="AK56" s="524"/>
      <c r="AL56" s="318">
        <f>AG56</f>
        <v>830</v>
      </c>
      <c r="AM56" s="521">
        <f t="shared" si="37"/>
        <v>166</v>
      </c>
      <c r="AN56" s="522">
        <f t="shared" si="38"/>
        <v>996</v>
      </c>
      <c r="AO56" s="433"/>
      <c r="AP56" s="468"/>
    </row>
    <row r="57" spans="2:42" ht="14.25">
      <c r="B57" s="893"/>
      <c r="C57" s="893"/>
      <c r="D57" s="893"/>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3"/>
      <c r="C58" s="893"/>
      <c r="D58" s="893"/>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8"/>
      <c r="C59" s="899"/>
      <c r="D59" s="900"/>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8"/>
      <c r="C60" s="899"/>
      <c r="D60" s="900"/>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8"/>
      <c r="C61" s="899"/>
      <c r="D61" s="900"/>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8"/>
      <c r="C62" s="899"/>
      <c r="D62" s="900"/>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8"/>
      <c r="C63" s="899"/>
      <c r="D63" s="900"/>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8"/>
      <c r="C64" s="899"/>
      <c r="D64" s="900"/>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3"/>
      <c r="C65" s="893"/>
      <c r="D65" s="893"/>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7"/>
      <c r="C66" s="897"/>
      <c r="D66" s="897"/>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4" t="s">
        <v>207</v>
      </c>
      <c r="C67" s="895"/>
      <c r="D67" s="896"/>
      <c r="E67" s="117"/>
      <c r="F67" s="532"/>
      <c r="G67" s="533"/>
      <c r="H67" s="534">
        <f>SUM(H37:H66)</f>
        <v>0</v>
      </c>
      <c r="I67" s="534">
        <f t="shared" ref="I67:J67" si="45">SUM(I37:I66)</f>
        <v>0</v>
      </c>
      <c r="J67" s="534">
        <f t="shared" si="45"/>
        <v>0</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18380</v>
      </c>
      <c r="AC67" s="534">
        <f t="shared" ref="AC67:AD67" si="54">SUM(AC37:AC66)</f>
        <v>2246</v>
      </c>
      <c r="AD67" s="534">
        <f t="shared" si="54"/>
        <v>20626</v>
      </c>
      <c r="AE67" s="535"/>
      <c r="AF67" s="536"/>
      <c r="AG67" s="534">
        <f t="shared" ref="AG67:AH67" si="55">SUM(AG37:AG66)</f>
        <v>18380</v>
      </c>
      <c r="AH67" s="534">
        <f t="shared" si="55"/>
        <v>2246</v>
      </c>
      <c r="AI67" s="534">
        <f t="shared" ref="AI67" si="56">SUM(AI37:AI66)</f>
        <v>20626</v>
      </c>
      <c r="AJ67" s="535"/>
      <c r="AK67" s="536"/>
      <c r="AL67" s="534">
        <f t="shared" ref="AL67" si="57">SUM(AL37:AL66)</f>
        <v>18380</v>
      </c>
      <c r="AM67" s="534">
        <f t="shared" ref="AM67" si="58">SUM(AM37:AM66)</f>
        <v>2246</v>
      </c>
      <c r="AN67" s="537">
        <f t="shared" ref="AN67" si="59">SUM(AN37:AN66)</f>
        <v>20626</v>
      </c>
      <c r="AO67" s="433"/>
      <c r="AP67" s="468"/>
    </row>
    <row r="68" spans="2:42" ht="14.25">
      <c r="B68" s="893" t="s">
        <v>49</v>
      </c>
      <c r="C68" s="893"/>
      <c r="D68" s="893"/>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3" t="s">
        <v>50</v>
      </c>
      <c r="C69" s="893"/>
      <c r="D69" s="893"/>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3" t="s">
        <v>337</v>
      </c>
      <c r="C70" s="893"/>
      <c r="D70" s="893"/>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3" t="s">
        <v>552</v>
      </c>
      <c r="C71" s="893"/>
      <c r="D71" s="893"/>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3" t="s">
        <v>52</v>
      </c>
      <c r="C72" s="893"/>
      <c r="D72" s="893"/>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3" t="s">
        <v>53</v>
      </c>
      <c r="C73" s="893"/>
      <c r="D73" s="893"/>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0" t="s">
        <v>54</v>
      </c>
      <c r="C74" s="891"/>
      <c r="D74" s="892"/>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0" t="s">
        <v>55</v>
      </c>
      <c r="C75" s="891"/>
      <c r="D75" s="892"/>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0" t="s">
        <v>56</v>
      </c>
      <c r="C76" s="891"/>
      <c r="D76" s="892"/>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0" t="s">
        <v>338</v>
      </c>
      <c r="C77" s="891"/>
      <c r="D77" s="892"/>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0" t="s">
        <v>58</v>
      </c>
      <c r="C78" s="891"/>
      <c r="D78" s="892"/>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7" t="s">
        <v>474</v>
      </c>
      <c r="C79" s="888"/>
      <c r="D79" s="889"/>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0" t="s">
        <v>475</v>
      </c>
      <c r="C80" s="891"/>
      <c r="D80" s="892"/>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0" t="s">
        <v>61</v>
      </c>
      <c r="C81" s="891"/>
      <c r="D81" s="892"/>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7" t="s">
        <v>62</v>
      </c>
      <c r="C82" s="888"/>
      <c r="D82" s="889"/>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7" t="s">
        <v>63</v>
      </c>
      <c r="C83" s="888"/>
      <c r="D83" s="889"/>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0" t="s">
        <v>64</v>
      </c>
      <c r="C84" s="891"/>
      <c r="D84" s="892"/>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0" t="s">
        <v>65</v>
      </c>
      <c r="C85" s="891"/>
      <c r="D85" s="892"/>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7" t="s">
        <v>66</v>
      </c>
      <c r="C86" s="888"/>
      <c r="D86" s="889"/>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v>10500</v>
      </c>
      <c r="AC86" s="521">
        <f t="shared" si="74"/>
        <v>0</v>
      </c>
      <c r="AD86" s="522">
        <f t="shared" si="63"/>
        <v>10500</v>
      </c>
      <c r="AE86" s="527"/>
      <c r="AF86" s="524"/>
      <c r="AG86" s="736">
        <f t="shared" si="67"/>
        <v>10500</v>
      </c>
      <c r="AH86" s="521">
        <f t="shared" si="75"/>
        <v>0</v>
      </c>
      <c r="AI86" s="522">
        <f t="shared" si="64"/>
        <v>10500</v>
      </c>
      <c r="AJ86" s="527"/>
      <c r="AK86" s="524"/>
      <c r="AL86" s="736">
        <f t="shared" si="68"/>
        <v>10500</v>
      </c>
      <c r="AM86" s="521">
        <f t="shared" si="76"/>
        <v>0</v>
      </c>
      <c r="AN86" s="522">
        <f t="shared" si="65"/>
        <v>10500</v>
      </c>
      <c r="AO86" s="433"/>
      <c r="AP86" s="468"/>
    </row>
    <row r="87" spans="2:42" ht="14.25">
      <c r="B87" s="890" t="s">
        <v>67</v>
      </c>
      <c r="C87" s="891"/>
      <c r="D87" s="892"/>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0" t="s">
        <v>68</v>
      </c>
      <c r="C88" s="891"/>
      <c r="D88" s="892"/>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0" t="s">
        <v>69</v>
      </c>
      <c r="C89" s="891"/>
      <c r="D89" s="892"/>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0" t="s">
        <v>70</v>
      </c>
      <c r="C90" s="891"/>
      <c r="D90" s="892"/>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7" t="s">
        <v>71</v>
      </c>
      <c r="C91" s="888"/>
      <c r="D91" s="889"/>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0" t="s">
        <v>553</v>
      </c>
      <c r="C92" s="891"/>
      <c r="D92" s="892"/>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3" t="s">
        <v>554</v>
      </c>
      <c r="C93" s="893"/>
      <c r="D93" s="893"/>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3" t="s">
        <v>564</v>
      </c>
      <c r="C94" s="893"/>
      <c r="D94" s="893"/>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6" t="s">
        <v>207</v>
      </c>
      <c r="C95" s="886"/>
      <c r="D95" s="886"/>
      <c r="E95" s="886"/>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27400</v>
      </c>
      <c r="AC95" s="497">
        <f>SUM(AC68:AC94)</f>
        <v>3380</v>
      </c>
      <c r="AD95" s="497">
        <f>SUM(AD68:AD94)</f>
        <v>30780</v>
      </c>
      <c r="AE95" s="535"/>
      <c r="AF95" s="536"/>
      <c r="AG95" s="497">
        <f>SUM(AG68:AG94)</f>
        <v>27400</v>
      </c>
      <c r="AH95" s="497">
        <f>SUM(AH68:AH94)</f>
        <v>3380</v>
      </c>
      <c r="AI95" s="497">
        <f>SUM(AI68:AI94)</f>
        <v>30780</v>
      </c>
      <c r="AJ95" s="535"/>
      <c r="AK95" s="536"/>
      <c r="AL95" s="497">
        <f>SUM(AL68:AL94)</f>
        <v>27400</v>
      </c>
      <c r="AM95" s="497">
        <f>SUM(AM68:AM94)</f>
        <v>3380</v>
      </c>
      <c r="AN95" s="497">
        <f>SUM(AN68:AN94)</f>
        <v>30780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2">
        <f t="shared" ref="F100:J100" si="77">IF($D$4="","",$D$4)</f>
        <v>2028</v>
      </c>
      <c r="G100" s="882"/>
      <c r="H100" s="882">
        <f t="shared" si="77"/>
        <v>2028</v>
      </c>
      <c r="I100" s="882">
        <f t="shared" si="77"/>
        <v>2028</v>
      </c>
      <c r="J100" s="882">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3"/>
      <c r="C101" s="883"/>
      <c r="D101" s="883"/>
      <c r="E101" s="883"/>
      <c r="F101" s="884"/>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5" t="s">
        <v>81</v>
      </c>
      <c r="C117" s="885"/>
      <c r="D117" s="885"/>
      <c r="E117" s="885"/>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2">
        <f>IF(D4="","",F100+1)</f>
        <v>2029</v>
      </c>
      <c r="G119" s="882"/>
      <c r="H119" s="882"/>
      <c r="I119" s="882"/>
      <c r="J119" s="882"/>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3"/>
      <c r="C120" s="883"/>
      <c r="D120" s="883"/>
      <c r="E120" s="883"/>
      <c r="F120" s="884"/>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5" t="s">
        <v>83</v>
      </c>
      <c r="C135" s="885"/>
      <c r="D135" s="885"/>
      <c r="E135" s="885"/>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2">
        <f>IF(D4="","",F119+1)</f>
        <v>2030</v>
      </c>
      <c r="G137" s="882"/>
      <c r="H137" s="882"/>
      <c r="I137" s="882"/>
      <c r="J137" s="882"/>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3"/>
      <c r="C138" s="883"/>
      <c r="D138" s="883"/>
      <c r="E138" s="883"/>
      <c r="F138" s="884"/>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1" t="s">
        <v>85</v>
      </c>
      <c r="C153" s="881"/>
      <c r="D153" s="881"/>
      <c r="E153" s="881"/>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2">
        <f>IF(D4="","",F137+1)</f>
        <v>2031</v>
      </c>
      <c r="G155" s="882"/>
      <c r="H155" s="882"/>
      <c r="I155" s="882"/>
      <c r="J155" s="882"/>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3"/>
      <c r="C156" s="883"/>
      <c r="D156" s="883"/>
      <c r="E156" s="883"/>
      <c r="F156" s="884"/>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5" t="s">
        <v>87</v>
      </c>
      <c r="C171" s="885"/>
      <c r="D171" s="885"/>
      <c r="E171" s="885"/>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2">
        <f>IF(D4="","",F155+1)</f>
        <v>2032</v>
      </c>
      <c r="G173" s="882"/>
      <c r="H173" s="882"/>
      <c r="I173" s="882"/>
      <c r="J173" s="882"/>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3"/>
      <c r="C174" s="883"/>
      <c r="D174" s="883"/>
      <c r="E174" s="883"/>
      <c r="F174" s="884"/>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5" t="s">
        <v>354</v>
      </c>
      <c r="C189" s="885"/>
      <c r="D189" s="885"/>
      <c r="E189" s="885"/>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2">
        <f>IF(D4="","",F173+1)</f>
        <v>2033</v>
      </c>
      <c r="G191" s="882"/>
      <c r="H191" s="882"/>
      <c r="I191" s="882"/>
      <c r="J191" s="882"/>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3"/>
      <c r="C192" s="883"/>
      <c r="D192" s="883"/>
      <c r="E192" s="883"/>
      <c r="F192" s="884"/>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5" t="s">
        <v>90</v>
      </c>
      <c r="C207" s="885"/>
      <c r="D207" s="885"/>
      <c r="E207" s="885"/>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2">
        <f>IF(D4="","",F191+1)</f>
        <v>2034</v>
      </c>
      <c r="G209" s="882"/>
      <c r="H209" s="882"/>
      <c r="I209" s="882"/>
      <c r="J209" s="882"/>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3"/>
      <c r="C210" s="883"/>
      <c r="D210" s="883"/>
      <c r="E210" s="883"/>
      <c r="F210" s="884"/>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5" t="s">
        <v>355</v>
      </c>
      <c r="C225" s="885"/>
      <c r="D225" s="885"/>
      <c r="E225" s="885"/>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0"/>
      <c r="F231" s="871"/>
      <c r="G231" s="870"/>
      <c r="H231" s="871"/>
      <c r="I231" s="870"/>
      <c r="J231" s="871"/>
      <c r="K231" s="870"/>
      <c r="L231" s="871"/>
      <c r="M231" s="870"/>
      <c r="N231" s="871"/>
      <c r="O231" s="870"/>
      <c r="P231" s="871"/>
      <c r="Q231" s="872"/>
      <c r="R231" s="873"/>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40">
        <v>39000</v>
      </c>
      <c r="F232" s="841"/>
      <c r="G232" s="840"/>
      <c r="H232" s="841"/>
      <c r="I232" s="840"/>
      <c r="J232" s="841"/>
      <c r="K232" s="840"/>
      <c r="L232" s="841"/>
      <c r="M232" s="840"/>
      <c r="N232" s="841"/>
      <c r="O232" s="840"/>
      <c r="P232" s="841"/>
      <c r="Q232" s="842"/>
      <c r="R232" s="843"/>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0"/>
      <c r="F233" s="841"/>
      <c r="G233" s="840"/>
      <c r="H233" s="841"/>
      <c r="I233" s="840"/>
      <c r="J233" s="841"/>
      <c r="K233" s="840"/>
      <c r="L233" s="841"/>
      <c r="M233" s="840"/>
      <c r="N233" s="841"/>
      <c r="O233" s="840"/>
      <c r="P233" s="841"/>
      <c r="Q233" s="842"/>
      <c r="R233" s="843"/>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49">
        <v>14000</v>
      </c>
      <c r="F234" s="850"/>
      <c r="G234" s="849"/>
      <c r="H234" s="850"/>
      <c r="I234" s="849"/>
      <c r="J234" s="850"/>
      <c r="K234" s="849"/>
      <c r="L234" s="850"/>
      <c r="M234" s="849"/>
      <c r="N234" s="850"/>
      <c r="O234" s="849"/>
      <c r="P234" s="850"/>
      <c r="Q234" s="857"/>
      <c r="R234" s="858"/>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4" t="s">
        <v>347</v>
      </c>
      <c r="C235" s="845"/>
      <c r="D235" s="846"/>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0">
        <v>200</v>
      </c>
      <c r="F239" s="871"/>
      <c r="G239" s="876">
        <f>E239</f>
        <v>200</v>
      </c>
      <c r="H239" s="877"/>
      <c r="I239" s="876">
        <f>G239</f>
        <v>200</v>
      </c>
      <c r="J239" s="877"/>
      <c r="K239" s="876">
        <f>I239</f>
        <v>200</v>
      </c>
      <c r="L239" s="877"/>
      <c r="M239" s="876">
        <f>K239</f>
        <v>200</v>
      </c>
      <c r="N239" s="877"/>
      <c r="O239" s="876">
        <f t="shared" si="109"/>
        <v>200</v>
      </c>
      <c r="P239" s="877"/>
      <c r="Q239" s="878">
        <f t="shared" si="111"/>
        <v>200</v>
      </c>
      <c r="R239" s="87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40">
        <v>220</v>
      </c>
      <c r="F240" s="841"/>
      <c r="G240" s="840">
        <f t="shared" ref="G240:G244" si="114">E240</f>
        <v>220</v>
      </c>
      <c r="H240" s="841"/>
      <c r="I240" s="840">
        <f t="shared" ref="I240:I245" si="115">G240</f>
        <v>220</v>
      </c>
      <c r="J240" s="841"/>
      <c r="K240" s="840">
        <f t="shared" ref="K240:K245" si="116">I240</f>
        <v>220</v>
      </c>
      <c r="L240" s="841"/>
      <c r="M240" s="840">
        <f t="shared" ref="M240:M245" si="117">K240</f>
        <v>220</v>
      </c>
      <c r="N240" s="841"/>
      <c r="O240" s="840">
        <f t="shared" si="109"/>
        <v>220</v>
      </c>
      <c r="P240" s="841"/>
      <c r="Q240" s="842">
        <f t="shared" si="111"/>
        <v>220</v>
      </c>
      <c r="R240" s="843"/>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40"/>
      <c r="F241" s="841"/>
      <c r="G241" s="840">
        <f t="shared" si="114"/>
        <v>0</v>
      </c>
      <c r="H241" s="841"/>
      <c r="I241" s="840">
        <f t="shared" si="115"/>
        <v>0</v>
      </c>
      <c r="J241" s="841"/>
      <c r="K241" s="840">
        <f t="shared" si="116"/>
        <v>0</v>
      </c>
      <c r="L241" s="841"/>
      <c r="M241" s="840">
        <f t="shared" si="117"/>
        <v>0</v>
      </c>
      <c r="N241" s="841"/>
      <c r="O241" s="840"/>
      <c r="P241" s="841"/>
      <c r="Q241" s="842"/>
      <c r="R241" s="843"/>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40"/>
      <c r="F242" s="841"/>
      <c r="G242" s="840">
        <f t="shared" si="114"/>
        <v>0</v>
      </c>
      <c r="H242" s="841"/>
      <c r="I242" s="847">
        <f t="shared" si="115"/>
        <v>0</v>
      </c>
      <c r="J242" s="848"/>
      <c r="K242" s="840">
        <f t="shared" si="116"/>
        <v>0</v>
      </c>
      <c r="L242" s="841"/>
      <c r="M242" s="840">
        <f t="shared" si="117"/>
        <v>0</v>
      </c>
      <c r="N242" s="841"/>
      <c r="O242" s="840"/>
      <c r="P242" s="841"/>
      <c r="Q242" s="842"/>
      <c r="R242" s="843"/>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0"/>
      <c r="F243" s="841"/>
      <c r="G243" s="840">
        <f t="shared" si="114"/>
        <v>0</v>
      </c>
      <c r="H243" s="841"/>
      <c r="I243" s="840">
        <f t="shared" si="115"/>
        <v>0</v>
      </c>
      <c r="J243" s="841"/>
      <c r="K243" s="840">
        <f t="shared" si="116"/>
        <v>0</v>
      </c>
      <c r="L243" s="841"/>
      <c r="M243" s="840">
        <f t="shared" si="117"/>
        <v>0</v>
      </c>
      <c r="N243" s="841"/>
      <c r="O243" s="840"/>
      <c r="P243" s="841"/>
      <c r="Q243" s="842"/>
      <c r="R243" s="843"/>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0">
        <v>3000</v>
      </c>
      <c r="F244" s="841"/>
      <c r="G244" s="840">
        <f t="shared" si="114"/>
        <v>3000</v>
      </c>
      <c r="H244" s="841"/>
      <c r="I244" s="840">
        <f t="shared" si="115"/>
        <v>3000</v>
      </c>
      <c r="J244" s="841"/>
      <c r="K244" s="840">
        <f t="shared" si="116"/>
        <v>3000</v>
      </c>
      <c r="L244" s="841"/>
      <c r="M244" s="840">
        <f t="shared" si="117"/>
        <v>3000</v>
      </c>
      <c r="N244" s="841"/>
      <c r="O244" s="840">
        <f t="shared" ref="O244" si="118">M244</f>
        <v>3000</v>
      </c>
      <c r="P244" s="841"/>
      <c r="Q244" s="842">
        <f t="shared" ref="Q244" si="119">O244</f>
        <v>3000</v>
      </c>
      <c r="R244" s="843"/>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49"/>
      <c r="F245" s="850"/>
      <c r="G245" s="849">
        <v>4500</v>
      </c>
      <c r="H245" s="850"/>
      <c r="I245" s="851">
        <f t="shared" si="115"/>
        <v>4500</v>
      </c>
      <c r="J245" s="852"/>
      <c r="K245" s="851">
        <f t="shared" si="116"/>
        <v>4500</v>
      </c>
      <c r="L245" s="852"/>
      <c r="M245" s="849">
        <v>6750</v>
      </c>
      <c r="N245" s="850"/>
      <c r="O245" s="849">
        <f>M245</f>
        <v>6750</v>
      </c>
      <c r="P245" s="850"/>
      <c r="Q245" s="857">
        <f>O245</f>
        <v>6750</v>
      </c>
      <c r="R245" s="858"/>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4" t="s">
        <v>479</v>
      </c>
      <c r="C246" s="845"/>
      <c r="D246" s="846"/>
      <c r="E246" s="580">
        <f>SUM(E239:F245)</f>
        <v>3420</v>
      </c>
      <c r="F246" s="581"/>
      <c r="G246" s="582">
        <f>SUM(G239:H245)</f>
        <v>7920</v>
      </c>
      <c r="H246" s="581"/>
      <c r="I246" s="582">
        <f>SUM(I239:J245)</f>
        <v>7920</v>
      </c>
      <c r="J246" s="581"/>
      <c r="K246" s="582">
        <f>SUM(K239:L245)</f>
        <v>7920</v>
      </c>
      <c r="L246" s="581"/>
      <c r="M246" s="582">
        <f>SUM(M239:N245)</f>
        <v>10170</v>
      </c>
      <c r="N246" s="581"/>
      <c r="O246" s="582">
        <f>SUM(O239:P245)</f>
        <v>10170</v>
      </c>
      <c r="P246" s="581"/>
      <c r="Q246" s="582">
        <f>SUM(Q239:R245)</f>
        <v>10170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3">
        <v>69000</v>
      </c>
      <c r="F250" s="854"/>
      <c r="G250" s="853">
        <v>0</v>
      </c>
      <c r="H250" s="854"/>
      <c r="I250" s="853">
        <v>0</v>
      </c>
      <c r="J250" s="854"/>
      <c r="K250" s="874">
        <v>0</v>
      </c>
      <c r="L250" s="875"/>
      <c r="M250" s="874">
        <v>0</v>
      </c>
      <c r="N250" s="875"/>
      <c r="O250" s="874">
        <f t="shared" si="123"/>
        <v>0</v>
      </c>
      <c r="P250" s="875"/>
      <c r="Q250" s="874">
        <f t="shared" si="125"/>
        <v>0</v>
      </c>
      <c r="R250" s="880"/>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3">
        <v>0</v>
      </c>
      <c r="F255" s="864"/>
      <c r="G255" s="865">
        <f>I255/2</f>
        <v>8400</v>
      </c>
      <c r="H255" s="866"/>
      <c r="I255" s="865">
        <v>16800</v>
      </c>
      <c r="J255" s="866"/>
      <c r="K255" s="865">
        <v>16800</v>
      </c>
      <c r="L255" s="866"/>
      <c r="M255" s="865">
        <v>19200</v>
      </c>
      <c r="N255" s="866"/>
      <c r="O255" s="865">
        <v>19200</v>
      </c>
      <c r="P255" s="866"/>
      <c r="Q255" s="867">
        <f t="shared" si="133"/>
        <v>19200</v>
      </c>
      <c r="R255" s="868"/>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6">
        <v>0</v>
      </c>
      <c r="F256" s="917"/>
      <c r="G256" s="855">
        <f>I256/2</f>
        <v>8400</v>
      </c>
      <c r="H256" s="856"/>
      <c r="I256" s="855">
        <v>16800</v>
      </c>
      <c r="J256" s="856"/>
      <c r="K256" s="855">
        <v>16800</v>
      </c>
      <c r="L256" s="856"/>
      <c r="M256" s="855">
        <v>19200</v>
      </c>
      <c r="N256" s="856"/>
      <c r="O256" s="855">
        <v>19200</v>
      </c>
      <c r="P256" s="856"/>
      <c r="Q256" s="855">
        <f t="shared" si="133"/>
        <v>19200</v>
      </c>
      <c r="R256" s="869"/>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6"/>
      <c r="F257" s="917"/>
      <c r="G257" s="855"/>
      <c r="H257" s="856"/>
      <c r="I257" s="855"/>
      <c r="J257" s="856"/>
      <c r="K257" s="855"/>
      <c r="L257" s="856"/>
      <c r="M257" s="855">
        <v>19200</v>
      </c>
      <c r="N257" s="856"/>
      <c r="O257" s="855">
        <v>19200</v>
      </c>
      <c r="P257" s="856"/>
      <c r="Q257" s="855">
        <v>19200</v>
      </c>
      <c r="R257" s="869"/>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6"/>
      <c r="F258" s="917"/>
      <c r="G258" s="855"/>
      <c r="H258" s="856"/>
      <c r="I258" s="855"/>
      <c r="J258" s="856"/>
      <c r="K258" s="855"/>
      <c r="L258" s="856"/>
      <c r="M258" s="855"/>
      <c r="N258" s="856"/>
      <c r="O258" s="855"/>
      <c r="P258" s="856"/>
      <c r="Q258" s="855"/>
      <c r="R258" s="869"/>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6"/>
      <c r="F259" s="917"/>
      <c r="G259" s="855"/>
      <c r="H259" s="856"/>
      <c r="I259" s="855"/>
      <c r="J259" s="856"/>
      <c r="K259" s="855"/>
      <c r="L259" s="856"/>
      <c r="M259" s="855"/>
      <c r="N259" s="856"/>
      <c r="O259" s="855"/>
      <c r="P259" s="856"/>
      <c r="Q259" s="855"/>
      <c r="R259" s="869"/>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59"/>
      <c r="F260" s="860"/>
      <c r="G260" s="859"/>
      <c r="H260" s="860"/>
      <c r="I260" s="859"/>
      <c r="J260" s="860"/>
      <c r="K260" s="859"/>
      <c r="L260" s="860"/>
      <c r="M260" s="859"/>
      <c r="N260" s="860"/>
      <c r="O260" s="859"/>
      <c r="P260" s="860"/>
      <c r="Q260" s="861"/>
      <c r="R260" s="862"/>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57600</v>
      </c>
      <c r="N261" s="594"/>
      <c r="O261" s="593">
        <f>SUM(O255:P260)</f>
        <v>57600</v>
      </c>
      <c r="P261" s="594"/>
      <c r="Q261" s="593">
        <f>SUM(Q255:R260)</f>
        <v>57600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1" t="s">
        <v>351</v>
      </c>
      <c r="C2" s="932"/>
      <c r="D2" s="932"/>
      <c r="E2" s="932"/>
      <c r="F2" s="932"/>
      <c r="G2" s="932"/>
      <c r="H2" s="932"/>
      <c r="I2" s="932"/>
      <c r="J2" s="933"/>
    </row>
    <row r="3" spans="2:10" ht="13.5" thickBot="1">
      <c r="C3" s="101"/>
    </row>
    <row r="4" spans="2:10" ht="36.75" customHeight="1" thickBot="1">
      <c r="B4" s="100" t="s">
        <v>200</v>
      </c>
      <c r="C4" s="188"/>
      <c r="D4" s="189">
        <f>IF('données TK'!L4="","",'données TK'!L4)</f>
        <v>2033</v>
      </c>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357</v>
      </c>
      <c r="C12" s="930"/>
      <c r="D12" s="930"/>
      <c r="E12" s="20" t="s">
        <v>205</v>
      </c>
      <c r="G12" s="930" t="s">
        <v>206</v>
      </c>
      <c r="H12" s="930"/>
      <c r="I12" s="930"/>
      <c r="J12" s="20" t="s">
        <v>205</v>
      </c>
    </row>
    <row r="13" spans="2:10" ht="14.25">
      <c r="B13" s="926" t="str">
        <f>IF('données TK'!C28&lt;&gt;"",T('données TK'!C28),T('données TK'!B28))</f>
        <v>Panier d'AMAP</v>
      </c>
      <c r="C13" s="927"/>
      <c r="D13" s="928"/>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8" t="str">
        <f>T('données éco.'!B39:D39)</f>
        <v>Aliment bétail</v>
      </c>
      <c r="H13" s="918"/>
      <c r="I13" s="918"/>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6" t="str">
        <f>IF('données TK'!C29&lt;&gt;"",T('données TK'!C29),T('données TK'!B29))</f>
        <v>Panier en Vente à la ferme</v>
      </c>
      <c r="C14" s="927"/>
      <c r="D14" s="928"/>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8" t="str">
        <f>T('données éco.'!B40:D40)</f>
        <v>Animaux</v>
      </c>
      <c r="H14" s="918"/>
      <c r="I14" s="918"/>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6" t="str">
        <f>IF('données TK'!C30&lt;&gt;"",T('données TK'!C30),T('données TK'!B30))</f>
        <v>Panier en Livraison</v>
      </c>
      <c r="C15" s="927"/>
      <c r="D15" s="928"/>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8" t="str">
        <f>T('données éco.'!B41:D41)</f>
        <v xml:space="preserve">Carburants, lubrifiants (huile, fioul pour appareil ferme) </v>
      </c>
      <c r="H15" s="918"/>
      <c r="I15" s="918"/>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6" t="str">
        <f>IF('données TK'!C31&lt;&gt;"",T('données TK'!C31),T('données TK'!B31))</f>
        <v>Loyer photovoltaisme</v>
      </c>
      <c r="C16" s="927"/>
      <c r="D16" s="928"/>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8" t="str">
        <f>T('données éco.'!B42:D42)</f>
        <v>Combustibles, bois</v>
      </c>
      <c r="H16" s="918"/>
      <c r="I16" s="918"/>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6" t="str">
        <f>IF('données TK'!C32&lt;&gt;"",T('données TK'!C32),T('données TK'!B32))</f>
        <v>Fraises</v>
      </c>
      <c r="C17" s="927"/>
      <c r="D17" s="928"/>
      <c r="E17" s="191">
        <f>IF($D$4='données éco.'!$H$6,'données éco.'!$I13,IF($D$4='données éco.'!$M$6,'données éco.'!$N13,IF($D$4='données éco.'!$R$6,'données éco.'!$S13,IF($D$4='données éco.'!$W$6,'données éco.'!$X13,IF($D$4='données éco.'!$AB$6,'données éco.'!$AC13,IF($D$4='données éco.'!$AG$6,'données éco.'!$AH13,IF($D$4='données éco.'!$AL$6,'données éco.'!$AM13,"")))))))</f>
        <v>15400</v>
      </c>
      <c r="G17" s="918" t="str">
        <f>T('données éco.'!B43:D43)</f>
        <v>Emballage</v>
      </c>
      <c r="H17" s="918"/>
      <c r="I17" s="918"/>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6" t="str">
        <f>IF('données TK'!C33&lt;&gt;"",T('données TK'!C33),T('données TK'!B33))</f>
        <v>Produit 6</v>
      </c>
      <c r="C18" s="927"/>
      <c r="D18" s="928"/>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8" t="str">
        <f>T('données éco.'!B44:D44)</f>
        <v>Engrais</v>
      </c>
      <c r="H18" s="918"/>
      <c r="I18" s="918"/>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6" t="str">
        <f>IF('données TK'!C34&lt;&gt;"",T('données TK'!C34),T('données TK'!B34))</f>
        <v>Produit 7</v>
      </c>
      <c r="C19" s="927"/>
      <c r="D19" s="928"/>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8" t="str">
        <f>T('données éco.'!B45:D45)</f>
        <v>Entretien matériel ou batiment spécifique à un atelier + petit matériel</v>
      </c>
      <c r="H19" s="918"/>
      <c r="I19" s="918"/>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6" t="str">
        <f>IF('données TK'!C35&lt;&gt;"",T('données TK'!C35),T('données TK'!B35))</f>
        <v>Produit 8</v>
      </c>
      <c r="C20" s="927"/>
      <c r="D20" s="928"/>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8" t="str">
        <f>T('données éco.'!B46:D46)</f>
        <v>Honoraire vétérinaire atelier 1</v>
      </c>
      <c r="H20" s="918"/>
      <c r="I20" s="918"/>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6" t="str">
        <f>IF('données TK'!C36&lt;&gt;"",T('données TK'!C36),T('données TK'!B36))</f>
        <v>Produit 9</v>
      </c>
      <c r="C21" s="927"/>
      <c r="D21" s="928"/>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8" t="str">
        <f>T('données éco.'!B47:D47)</f>
        <v>Produits de défense de végétaux</v>
      </c>
      <c r="H21" s="918"/>
      <c r="I21" s="918"/>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6" t="str">
        <f>IF('données TK'!C37&lt;&gt;"",T('données TK'!C37),T('données TK'!B37))</f>
        <v>Produit 10</v>
      </c>
      <c r="C22" s="927"/>
      <c r="D22" s="928"/>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8" t="str">
        <f>T('données éco.'!B48:D48)</f>
        <v>Produits de reproduction animale</v>
      </c>
      <c r="H22" s="918"/>
      <c r="I22" s="918"/>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6" t="str">
        <f>IF('données TK'!C38&lt;&gt;"",T('données TK'!C38),T('données TK'!B38))</f>
        <v>Produit 11</v>
      </c>
      <c r="C23" s="927"/>
      <c r="D23" s="928"/>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8" t="str">
        <f>T('données éco.'!B49:D49)</f>
        <v>Produits d'entretien et hygiène</v>
      </c>
      <c r="H23" s="918"/>
      <c r="I23" s="918"/>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6" t="str">
        <f>IF('données TK'!C39&lt;&gt;"",T('données TK'!C39),T('données TK'!B39))</f>
        <v>Produit 12</v>
      </c>
      <c r="C24" s="927"/>
      <c r="D24" s="928"/>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8" t="str">
        <f>T('données éco.'!B50:D50)</f>
        <v>Produits vétérinaires</v>
      </c>
      <c r="H24" s="918"/>
      <c r="I24" s="918"/>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6" t="str">
        <f>IF('données TK'!C40&lt;&gt;"",T('données TK'!C40),T('données TK'!B40))</f>
        <v>Produit 13</v>
      </c>
      <c r="C25" s="927"/>
      <c r="D25" s="928"/>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8" t="str">
        <f>T('données éco.'!B51:D51)</f>
        <v>Salaire et charge occasionnelle</v>
      </c>
      <c r="H25" s="918"/>
      <c r="I25" s="918"/>
      <c r="J25" s="185">
        <f>IF($D$4='données éco.'!$H$34,'données éco.'!$H51,IF($D$4='données éco.'!$M$34,'données éco.'!$M51,IF($D$4='données éco.'!$R$34,'données éco.'!$R51,IF($D$4='données éco.'!$W$34,'données éco.'!$W51,IF($D$4='données éco.'!$AB$34,'données éco.'!$AB51,IF($D$4='données éco.'!$AG$34,'données éco.'!$AG51,IF($D$4='données éco.'!$AL$34,'données éco.'!$AL51,"")))))))</f>
        <v>2550</v>
      </c>
    </row>
    <row r="26" spans="2:10" ht="14.25">
      <c r="B26" s="926" t="str">
        <f>IF('données TK'!C41&lt;&gt;"",T('données TK'!C41),T('données TK'!B41))</f>
        <v>Produit 14</v>
      </c>
      <c r="C26" s="927"/>
      <c r="D26" s="928"/>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8" t="str">
        <f>T('données éco.'!B52:D52)</f>
        <v>Semences et plants</v>
      </c>
      <c r="H26" s="918"/>
      <c r="I26" s="918"/>
      <c r="J26" s="185">
        <f>IF($D$4='données éco.'!$H$34,'données éco.'!$H52,IF($D$4='données éco.'!$M$34,'données éco.'!$M52,IF($D$4='données éco.'!$R$34,'données éco.'!$R52,IF($D$4='données éco.'!$W$34,'données éco.'!$W52,IF($D$4='données éco.'!$AB$34,'données éco.'!$AB52,IF($D$4='données éco.'!$AG$34,'données éco.'!$AG52,IF($D$4='données éco.'!$AL$34,'données éco.'!$AL52,"")))))))</f>
        <v>7000</v>
      </c>
    </row>
    <row r="27" spans="2:10" ht="14.25">
      <c r="B27" s="926" t="str">
        <f>IF('données TK'!C42&lt;&gt;"",T('données TK'!C42),T('données TK'!B42))</f>
        <v>Produit 15</v>
      </c>
      <c r="C27" s="927"/>
      <c r="D27" s="928"/>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8" t="str">
        <f>T('données éco.'!B53:D53)</f>
        <v>Travaux par tiers pour animaux (les prestations de service , ex:tonte des brebis</v>
      </c>
      <c r="H27" s="918"/>
      <c r="I27" s="918"/>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6" t="str">
        <f>IF('données TK'!C43&lt;&gt;"",T('données TK'!C43),T('données TK'!B43))</f>
        <v>Produit 16</v>
      </c>
      <c r="C28" s="927"/>
      <c r="D28" s="928"/>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8" t="str">
        <f>T('données éco.'!B54:D54)</f>
        <v>Travaux par tiers pour végétaux (CUMA…)</v>
      </c>
      <c r="H28" s="918"/>
      <c r="I28" s="918"/>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6" t="str">
        <f>IF('données TK'!C44&lt;&gt;"",T('données TK'!C44),T('données TK'!B44))</f>
        <v>Produit 17</v>
      </c>
      <c r="C29" s="927"/>
      <c r="D29" s="928"/>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8" t="str">
        <f>T('données éco.'!B55:D55)</f>
        <v>Charges opé fraises</v>
      </c>
      <c r="H29" s="918"/>
      <c r="I29" s="918"/>
      <c r="J29" s="185">
        <f>IF($D$4='données éco.'!$H$34,'données éco.'!$H55,IF($D$4='données éco.'!$M$34,'données éco.'!$M55,IF($D$4='données éco.'!$R$34,'données éco.'!$R55,IF($D$4='données éco.'!$W$34,'données éco.'!$W55,IF($D$4='données éco.'!$AB$34,'données éco.'!$AB55,IF($D$4='données éco.'!$AG$34,'données éco.'!$AG55,IF($D$4='données éco.'!$AL$34,'données éco.'!$AL55,"")))))))</f>
        <v>2000</v>
      </c>
    </row>
    <row r="30" spans="2:10" ht="14.25">
      <c r="B30" s="926" t="str">
        <f>IF('données TK'!C45&lt;&gt;"",T('données TK'!C45),T('données TK'!B45))</f>
        <v>Produit 18</v>
      </c>
      <c r="C30" s="927"/>
      <c r="D30" s="928"/>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8" t="str">
        <f>T('données éco.'!B56:D56)</f>
        <v>Charges opé pépi</v>
      </c>
      <c r="H30" s="918"/>
      <c r="I30" s="918"/>
      <c r="J30" s="185">
        <f>IF($D$4='données éco.'!$H$34,'données éco.'!$H56,IF($D$4='données éco.'!$M$34,'données éco.'!$M56,IF($D$4='données éco.'!$R$34,'données éco.'!$R56,IF($D$4='données éco.'!$W$34,'données éco.'!$W56,IF($D$4='données éco.'!$AB$34,'données éco.'!$AB56,IF($D$4='données éco.'!$AG$34,'données éco.'!$AG56,IF($D$4='données éco.'!$AL$34,'données éco.'!$AL56,"")))))))</f>
        <v>830</v>
      </c>
    </row>
    <row r="31" spans="2:10" ht="14.25">
      <c r="B31" s="926" t="str">
        <f>IF('données TK'!C46&lt;&gt;"",T('données TK'!C46),T('données TK'!B46))</f>
        <v>Produit 19</v>
      </c>
      <c r="C31" s="927"/>
      <c r="D31" s="928"/>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8" t="str">
        <f>T('données éco.'!B57:D57)</f>
        <v/>
      </c>
      <c r="H31" s="918"/>
      <c r="I31" s="918"/>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6" t="str">
        <f>IF('données TK'!C47&lt;&gt;"",T('données TK'!C47),T('données TK'!B47))</f>
        <v>Produit 20</v>
      </c>
      <c r="C32" s="927"/>
      <c r="D32" s="928"/>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8" t="str">
        <f>T('données éco.'!B58:D58)</f>
        <v/>
      </c>
      <c r="H32" s="918"/>
      <c r="I32" s="918"/>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19"/>
      <c r="C33" s="920"/>
      <c r="D33" s="921"/>
      <c r="E33" s="334"/>
      <c r="G33" s="918" t="str">
        <f>T('données éco.'!B59:D59)</f>
        <v/>
      </c>
      <c r="H33" s="918"/>
      <c r="I33" s="918"/>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19"/>
      <c r="C34" s="920"/>
      <c r="D34" s="921"/>
      <c r="E34" s="334"/>
      <c r="G34" s="918" t="str">
        <f>T('données éco.'!B60:D60)</f>
        <v/>
      </c>
      <c r="H34" s="918"/>
      <c r="I34" s="918"/>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2" t="s">
        <v>207</v>
      </c>
      <c r="C35" s="922"/>
      <c r="D35" s="922"/>
      <c r="E35" s="21">
        <f>SUM(E13:E34)</f>
        <v>106150</v>
      </c>
      <c r="G35" s="918" t="str">
        <f>T('données éco.'!B61:D61)</f>
        <v/>
      </c>
      <c r="H35" s="918"/>
      <c r="I35" s="918"/>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8" t="str">
        <f>T('données éco.'!B62:D62)</f>
        <v/>
      </c>
      <c r="H36" s="918"/>
      <c r="I36" s="918"/>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8" t="str">
        <f>T('données éco.'!B63:D63)</f>
        <v/>
      </c>
      <c r="H37" s="918"/>
      <c r="I37" s="918"/>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8" t="str">
        <f>T('données éco.'!B64:D64)</f>
        <v/>
      </c>
      <c r="H38" s="918"/>
      <c r="I38" s="918"/>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8" t="str">
        <f>T('données éco.'!B65:D65)</f>
        <v/>
      </c>
      <c r="H39" s="918"/>
      <c r="I39" s="918"/>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0" t="s">
        <v>209</v>
      </c>
      <c r="C40" s="930"/>
      <c r="D40" s="930"/>
      <c r="E40" s="20" t="s">
        <v>205</v>
      </c>
      <c r="G40" s="918" t="str">
        <f>T('données éco.'!B66:D66)</f>
        <v/>
      </c>
      <c r="H40" s="918"/>
      <c r="I40" s="918"/>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9"/>
      <c r="C41" s="929"/>
      <c r="D41" s="929"/>
      <c r="E41" s="335"/>
      <c r="G41" s="922" t="s">
        <v>207</v>
      </c>
      <c r="H41" s="922"/>
      <c r="I41" s="922"/>
      <c r="J41" s="190">
        <f>SUM(J13:J40)</f>
        <v>18380</v>
      </c>
    </row>
    <row r="42" spans="2:10" ht="14.25">
      <c r="B42" s="336"/>
      <c r="C42" s="337"/>
      <c r="D42" s="338"/>
      <c r="E42" s="339"/>
      <c r="G42" s="1"/>
      <c r="H42" s="1"/>
      <c r="I42" s="1"/>
      <c r="J42" s="1"/>
    </row>
    <row r="43" spans="2:10" ht="15.75" thickBot="1">
      <c r="B43" s="922" t="s">
        <v>207</v>
      </c>
      <c r="C43" s="922"/>
      <c r="D43" s="922"/>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0" t="s">
        <v>211</v>
      </c>
      <c r="C47" s="930"/>
      <c r="D47" s="930"/>
      <c r="E47" s="20" t="s">
        <v>205</v>
      </c>
      <c r="G47" s="22" t="s">
        <v>212</v>
      </c>
      <c r="H47" s="1"/>
      <c r="I47" s="1"/>
      <c r="J47" s="1"/>
    </row>
    <row r="48" spans="2:10" ht="14.25">
      <c r="B48" s="926" t="str">
        <f>IF('données TK'!C48&lt;&gt;"",T('données TK'!C48),T('données TK'!B48))</f>
        <v xml:space="preserve">Produit 21 - Autoconsommation </v>
      </c>
      <c r="C48" s="927"/>
      <c r="D48" s="928"/>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2" t="s">
        <v>207</v>
      </c>
      <c r="C49" s="922"/>
      <c r="D49" s="922"/>
      <c r="E49" s="454">
        <f>E48</f>
        <v>0</v>
      </c>
      <c r="G49" s="925" t="str">
        <f>T('données éco.'!B37:D37)</f>
        <v xml:space="preserve">Cessions internes </v>
      </c>
      <c r="H49" s="925"/>
      <c r="I49" s="925"/>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5" t="str">
        <f>T('données éco.'!B38:D38)</f>
        <v xml:space="preserve">Cessions internes </v>
      </c>
      <c r="H50" s="925"/>
      <c r="I50" s="925"/>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2" t="s">
        <v>207</v>
      </c>
      <c r="H51" s="922"/>
      <c r="I51" s="922"/>
      <c r="J51" s="453">
        <f>SUM(J49:J50)</f>
        <v>0</v>
      </c>
    </row>
    <row r="52" spans="2:10" ht="15" thickBot="1">
      <c r="B52" s="1"/>
      <c r="C52" s="1"/>
      <c r="D52" s="1"/>
      <c r="E52" s="1"/>
    </row>
    <row r="53" spans="2:10" ht="15.75" thickBot="1">
      <c r="B53" s="22" t="s">
        <v>212</v>
      </c>
      <c r="C53" s="1"/>
      <c r="D53" s="1"/>
      <c r="E53" s="1"/>
    </row>
    <row r="54" spans="2:10" ht="14.25">
      <c r="B54" s="930" t="s">
        <v>213</v>
      </c>
      <c r="C54" s="930"/>
      <c r="D54" s="930"/>
      <c r="E54" s="20" t="s">
        <v>205</v>
      </c>
    </row>
    <row r="55" spans="2:10" ht="14.25">
      <c r="B55" s="926" t="str">
        <f>IF('données TK'!C49&lt;&gt;"",T('données TK'!C49),T('données TK'!B49))</f>
        <v xml:space="preserve">Produit 22 - cession interne (ex: céréale transfo pain) </v>
      </c>
      <c r="C55" s="927"/>
      <c r="D55" s="928"/>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2" t="s">
        <v>207</v>
      </c>
      <c r="C56" s="922"/>
      <c r="D56" s="922"/>
      <c r="E56" s="454">
        <f>E55</f>
        <v>0</v>
      </c>
    </row>
    <row r="57" spans="2:10" ht="14.25">
      <c r="B57" s="1"/>
      <c r="C57" s="1"/>
      <c r="D57" s="1"/>
      <c r="E57" s="1"/>
    </row>
    <row r="58" spans="2:10" ht="15" thickBot="1">
      <c r="B58" s="1"/>
      <c r="C58" s="1"/>
      <c r="D58" s="1"/>
      <c r="E58" s="1"/>
    </row>
    <row r="59" spans="2:10" s="26" customFormat="1" ht="36.75" customHeight="1" thickBot="1">
      <c r="B59" s="924" t="s">
        <v>214</v>
      </c>
      <c r="C59" s="924"/>
      <c r="D59" s="924"/>
      <c r="E59" s="2">
        <f>SUM(E55+E48+E43+E35)</f>
        <v>106150</v>
      </c>
      <c r="G59" s="924" t="s">
        <v>216</v>
      </c>
      <c r="H59" s="924"/>
      <c r="I59" s="924"/>
      <c r="J59" s="452">
        <f>(J41+J51)</f>
        <v>18380</v>
      </c>
    </row>
    <row r="60" spans="2:10" ht="14.25">
      <c r="B60" s="1"/>
      <c r="C60" s="1"/>
      <c r="D60" s="1"/>
      <c r="E60" s="1"/>
    </row>
    <row r="61" spans="2:10" ht="13.5" thickBot="1"/>
    <row r="62" spans="2:10" ht="49.15" customHeight="1" thickBot="1">
      <c r="B62" s="923" t="s">
        <v>370</v>
      </c>
      <c r="C62" s="923"/>
      <c r="D62" s="923"/>
      <c r="E62" s="2">
        <f>E59-J59</f>
        <v>87770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7"/>
      <c r="H55" s="948"/>
      <c r="I55" s="94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topLeftCell="D1" zoomScale="70" zoomScaleNormal="70" workbookViewId="0">
      <pane ySplit="8" topLeftCell="A36" activePane="bottomLeft" state="frozen"/>
      <selection activeCell="R29" sqref="R29"/>
      <selection pane="bottomLeft" activeCell="D36" sqref="D3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2" t="s">
        <v>103</v>
      </c>
      <c r="C6" s="954" t="s">
        <v>489</v>
      </c>
      <c r="D6" s="954" t="s">
        <v>104</v>
      </c>
      <c r="E6" s="954" t="s">
        <v>105</v>
      </c>
      <c r="F6" s="954" t="s">
        <v>106</v>
      </c>
      <c r="G6" s="954" t="s">
        <v>107</v>
      </c>
      <c r="H6" s="954"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3"/>
      <c r="C7" s="955"/>
      <c r="D7" s="955"/>
      <c r="E7" s="955"/>
      <c r="F7" s="955"/>
      <c r="G7" s="955"/>
      <c r="H7" s="955"/>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0" t="s">
        <v>350</v>
      </c>
      <c r="C34" s="951"/>
      <c r="D34" s="951"/>
      <c r="E34" s="951"/>
      <c r="F34" s="951"/>
      <c r="G34" s="951"/>
      <c r="H34" s="951"/>
      <c r="I34" s="951"/>
      <c r="J34" s="951"/>
      <c r="K34" s="951"/>
      <c r="L34" s="951"/>
      <c r="M34" s="951"/>
      <c r="N34" s="951"/>
      <c r="O34" s="951"/>
      <c r="P34" s="951"/>
      <c r="Q34" s="951"/>
      <c r="R34" s="951"/>
      <c r="S34" s="951"/>
      <c r="T34" s="951"/>
      <c r="U34" s="951"/>
      <c r="V34" s="951"/>
      <c r="W34" s="951"/>
      <c r="X34" s="951"/>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6" t="s">
        <v>101</v>
      </c>
      <c r="D2" s="957"/>
      <c r="E2" s="957"/>
      <c r="F2" s="957"/>
      <c r="G2" s="957"/>
      <c r="H2" s="957"/>
      <c r="I2" s="957"/>
      <c r="J2" s="957"/>
      <c r="K2" s="957"/>
      <c r="L2" s="957"/>
      <c r="M2" s="957"/>
      <c r="N2" s="957"/>
      <c r="O2" s="957"/>
      <c r="P2" s="957"/>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3" t="s">
        <v>111</v>
      </c>
      <c r="C2" s="904"/>
      <c r="D2" s="904"/>
      <c r="E2" s="904"/>
      <c r="F2" s="904"/>
      <c r="G2" s="904"/>
      <c r="H2" s="904"/>
      <c r="I2" s="904"/>
      <c r="J2" s="904"/>
      <c r="K2" s="904"/>
      <c r="L2" s="904"/>
      <c r="M2" s="904"/>
      <c r="N2" s="905"/>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2" t="s">
        <v>112</v>
      </c>
      <c r="C7" s="954" t="s">
        <v>489</v>
      </c>
      <c r="D7" s="954" t="s">
        <v>104</v>
      </c>
      <c r="E7" s="954" t="s">
        <v>105</v>
      </c>
      <c r="F7" s="954"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3"/>
      <c r="C8" s="955"/>
      <c r="D8" s="955"/>
      <c r="E8" s="955"/>
      <c r="F8" s="955"/>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8" t="s">
        <v>114</v>
      </c>
      <c r="C9" s="959"/>
      <c r="D9" s="959"/>
      <c r="E9" s="959"/>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8" t="s">
        <v>115</v>
      </c>
      <c r="C24" s="959"/>
      <c r="D24" s="959"/>
      <c r="E24" s="959"/>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26680</v>
      </c>
      <c r="E27" s="78">
        <f>'données éco.'!D110</f>
        <v>12</v>
      </c>
      <c r="F27" s="87">
        <f t="shared" si="8"/>
        <v>2223.3333333333335</v>
      </c>
      <c r="G27" s="87">
        <f>IF($D27="","", IF($E27-($C$4+1-$C27)&gt;0,$F27,"Amorti"))</f>
        <v>2223.3333333333335</v>
      </c>
      <c r="H27" s="87">
        <f>IF($D$27="","", IF($E$27-($C$4+1-$C27)&gt;0,$F27,"Amorti"))</f>
        <v>2223.3333333333335</v>
      </c>
      <c r="I27" s="87">
        <f>IF($D$27="","", IF($E$27-($C$4+2-$C27)&gt;0,$F27,"Amorti"))</f>
        <v>2223.3333333333335</v>
      </c>
      <c r="J27" s="87">
        <f>IF($D$27="","", IF($E$27-($C$4+3-$C27)&gt;0,$F27,"Amorti"))</f>
        <v>2223.3333333333335</v>
      </c>
      <c r="K27" s="87">
        <f>IF($D$27="","", IF($E$27-($C$4+4-$C27)&gt;0,$F27,"Amorti"))</f>
        <v>2223.3333333333335</v>
      </c>
      <c r="L27" s="87">
        <f>IF($D$27="","", IF($E$27-($C$4+5-$C27)&gt;0,$F27,"Amorti"))</f>
        <v>2223.3333333333335</v>
      </c>
      <c r="M27" s="87">
        <f>IF($D$27="","", IF($E$27-($C$4+6-$C27)&gt;0,$F27,"Amorti"))</f>
        <v>2223.3333333333335</v>
      </c>
      <c r="N27" s="88">
        <f>IF($D$27="","", IF($E$27-($C$4+7-$C27)&gt;0,$F27,"Amorti"))</f>
        <v>2223.3333333333335</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166695</v>
      </c>
      <c r="E34" s="9"/>
      <c r="F34" s="6">
        <f>SUM(F25:F33)</f>
        <v>13289.440476190477</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0" t="s">
        <v>117</v>
      </c>
      <c r="C84" s="960"/>
      <c r="D84" s="960"/>
      <c r="E84" s="960"/>
      <c r="F84" s="960"/>
      <c r="G84" s="12">
        <f t="shared" ref="G84:N84" si="31">SUM(G10:G80)</f>
        <v>13289.440476190477</v>
      </c>
      <c r="H84" s="12">
        <f t="shared" si="31"/>
        <v>13289.440476190477</v>
      </c>
      <c r="I84" s="12">
        <f t="shared" si="31"/>
        <v>13289.440476190477</v>
      </c>
      <c r="J84" s="12">
        <f t="shared" si="31"/>
        <v>13289.440476190477</v>
      </c>
      <c r="K84" s="12">
        <f t="shared" si="31"/>
        <v>13289.440476190477</v>
      </c>
      <c r="L84" s="12">
        <f t="shared" si="31"/>
        <v>12290.440476190477</v>
      </c>
      <c r="M84" s="12">
        <f t="shared" si="31"/>
        <v>12290.440476190477</v>
      </c>
      <c r="N84" s="12">
        <f t="shared" si="31"/>
        <v>9432.5833333333339</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1" t="s">
        <v>321</v>
      </c>
      <c r="C2" s="932"/>
      <c r="D2" s="932"/>
      <c r="E2" s="932"/>
      <c r="F2" s="933"/>
    </row>
    <row r="4" spans="2:6" ht="44.25" customHeight="1" thickBot="1">
      <c r="B4" s="961" t="s">
        <v>118</v>
      </c>
      <c r="C4" s="962"/>
      <c r="E4" s="961" t="s">
        <v>119</v>
      </c>
      <c r="F4" s="961"/>
    </row>
    <row r="5" spans="2:6" ht="22.5" customHeight="1" thickBot="1">
      <c r="B5" s="963" t="s">
        <v>120</v>
      </c>
      <c r="C5" s="963"/>
      <c r="E5" s="964" t="s">
        <v>121</v>
      </c>
      <c r="F5" s="964"/>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1" t="s">
        <v>326</v>
      </c>
      <c r="D2" s="932"/>
      <c r="E2" s="932"/>
      <c r="F2" s="932"/>
      <c r="G2" s="933"/>
      <c r="H2" s="106"/>
      <c r="I2" s="106"/>
      <c r="J2" s="931" t="s">
        <v>320</v>
      </c>
      <c r="K2" s="932"/>
      <c r="L2" s="932"/>
      <c r="M2" s="932"/>
      <c r="N2" s="933"/>
      <c r="O2" s="15"/>
    </row>
    <row r="3" spans="3:15" ht="44.25" customHeight="1" thickBot="1"/>
    <row r="4" spans="3:15" ht="44.25" customHeight="1" thickTop="1">
      <c r="C4" s="967" t="s">
        <v>118</v>
      </c>
      <c r="D4" s="967"/>
      <c r="F4" s="969" t="s">
        <v>119</v>
      </c>
      <c r="G4" s="969"/>
      <c r="H4" s="16"/>
      <c r="I4" s="16"/>
      <c r="J4" s="967" t="s">
        <v>118</v>
      </c>
      <c r="K4" s="968"/>
      <c r="M4" s="969" t="s">
        <v>119</v>
      </c>
      <c r="N4" s="969"/>
      <c r="O4" s="16"/>
    </row>
    <row r="5" spans="3:15" ht="22.5" customHeight="1" thickBot="1">
      <c r="C5" s="965" t="s">
        <v>120</v>
      </c>
      <c r="D5" s="965"/>
      <c r="F5" s="966" t="s">
        <v>121</v>
      </c>
      <c r="G5" s="966"/>
      <c r="H5" s="90"/>
      <c r="I5" s="90"/>
      <c r="J5" s="965" t="s">
        <v>120</v>
      </c>
      <c r="K5" s="965"/>
      <c r="M5" s="966" t="s">
        <v>121</v>
      </c>
      <c r="N5" s="966"/>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94" zoomScale="90" zoomScaleNormal="90" workbookViewId="0">
      <selection activeCell="K117" sqref="K117"/>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3" t="s">
        <v>217</v>
      </c>
      <c r="C2" s="904"/>
      <c r="D2" s="904"/>
      <c r="E2" s="904"/>
      <c r="F2" s="904"/>
      <c r="G2" s="904"/>
      <c r="H2" s="904"/>
      <c r="I2" s="905"/>
    </row>
    <row r="3" spans="2:9" ht="15" thickBot="1"/>
    <row r="4" spans="2:9" ht="22.15" customHeight="1" thickBot="1">
      <c r="B4" s="427" t="s">
        <v>200</v>
      </c>
      <c r="C4" s="145">
        <f>IF('données TK'!L4="","",'données TK'!L4)</f>
        <v>2033</v>
      </c>
    </row>
    <row r="5" spans="2:9" ht="15" thickBot="1"/>
    <row r="6" spans="2:9" ht="36.75" customHeight="1" thickBot="1">
      <c r="B6" s="934" t="s">
        <v>218</v>
      </c>
      <c r="C6" s="934"/>
      <c r="E6" s="934" t="s">
        <v>219</v>
      </c>
      <c r="F6" s="934"/>
      <c r="G6" s="934"/>
      <c r="H6" s="934"/>
      <c r="I6" s="934"/>
    </row>
    <row r="7" spans="2:9" ht="15" thickBot="1">
      <c r="B7" s="973" t="s">
        <v>220</v>
      </c>
      <c r="C7" s="973"/>
      <c r="E7" s="973" t="s">
        <v>221</v>
      </c>
      <c r="F7" s="973"/>
      <c r="G7" s="973"/>
      <c r="H7" s="973"/>
      <c r="I7" s="973"/>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Fraises</v>
      </c>
      <c r="C15" s="191">
        <f>IF($C$4='données éco.'!$H$6,'données éco.'!$I13,IF($C$4='données éco.'!$M$6,'données éco.'!$N13,IF($C$4='données éco.'!$R$6,'données éco.'!$S13,IF($C$4='données éco.'!$W$6,'données éco.'!$X13,IF($C$4='données éco.'!$AB$6,'données éco.'!$AC13,IF($C$4='données éco.'!$AG$6,'données éco.'!$AH13,IF($C$4='données éco.'!$AL$6,'données éco.'!$AM13,"")))))))</f>
        <v>15400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106150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10170</v>
      </c>
    </row>
    <row r="35" spans="2:4" s="428" customFormat="1" ht="32.25" customHeight="1" thickBot="1">
      <c r="B35" s="29" t="s">
        <v>224</v>
      </c>
      <c r="C35" s="430">
        <f>SUM(C33:C34)</f>
        <v>116320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2550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7000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Charges opé fraises</v>
      </c>
      <c r="C54" s="185">
        <f>IF($C$4='données éco.'!$H$34,'données éco.'!$H55,IF($C$4='données éco.'!$M$34,'données éco.'!$M55,IF($C$4='données éco.'!$R$34,'données éco.'!$R55,IF($C$4='données éco.'!$W$34,'données éco.'!$W55,IF($C$4='données éco.'!$AB$34,'données éco.'!$AB55,IF($C$4='données éco.'!$AG$34,'données éco.'!$AG55,IF($C$4='données éco.'!$AL$34,'données éco.'!$AL55,"")))))))</f>
        <v>2000</v>
      </c>
    </row>
    <row r="55" spans="2:4" s="428" customFormat="1" ht="20.100000000000001" customHeight="1">
      <c r="B55" s="432" t="str">
        <f>T('données éco.'!B56:D56)</f>
        <v>Charges opé pépi</v>
      </c>
      <c r="C55" s="185">
        <f>IF($C$4='données éco.'!$H$34,'données éco.'!$H56,IF($C$4='données éco.'!$M$34,'données éco.'!$M56,IF($C$4='données éco.'!$R$34,'données éco.'!$R56,IF($C$4='données éco.'!$W$34,'données éco.'!$W56,IF($C$4='données éco.'!$AB$34,'données éco.'!$AB56,IF($C$4='données éco.'!$AG$34,'données éco.'!$AG56,IF($C$4='données éco.'!$AL$34,'données éco.'!$AL56,"")))))))</f>
        <v>830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18380</v>
      </c>
    </row>
    <row r="67" spans="2:5" s="428" customFormat="1" ht="20.100000000000001" customHeight="1" thickBot="1">
      <c r="C67" s="433"/>
      <c r="E67" s="825" t="s">
        <v>575</v>
      </c>
    </row>
    <row r="68" spans="2:5" s="428" customFormat="1" ht="20.100000000000001" customHeight="1" thickBot="1">
      <c r="B68" s="29" t="s">
        <v>226</v>
      </c>
      <c r="C68" s="430">
        <f>C35-C66</f>
        <v>97940</v>
      </c>
      <c r="E68" s="824">
        <f>C68/C33</f>
        <v>0.92265661799340559</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81540</v>
      </c>
      <c r="E95" s="824">
        <f>C95/C33</f>
        <v>0.76815826660386244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10500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11000</v>
      </c>
    </row>
    <row r="102" spans="2:11" s="428" customFormat="1" ht="20.100000000000001" customHeight="1" thickBot="1">
      <c r="C102" s="433"/>
    </row>
    <row r="103" spans="2:11" s="428" customFormat="1" ht="20.100000000000001" customHeight="1" thickBot="1">
      <c r="B103" s="29" t="s">
        <v>228</v>
      </c>
      <c r="C103" s="437">
        <f>$C$95-$C$101</f>
        <v>70540</v>
      </c>
      <c r="E103" s="29" t="s">
        <v>228</v>
      </c>
      <c r="F103" s="970"/>
      <c r="G103" s="970"/>
      <c r="H103" s="970"/>
      <c r="I103" s="437">
        <f>$C$95-$C$101</f>
        <v>70540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12290.440476190477</v>
      </c>
    </row>
    <row r="106" spans="2:11" s="428" customFormat="1" ht="20.100000000000001" customHeight="1" thickBot="1">
      <c r="C106" s="433"/>
    </row>
    <row r="107" spans="2:11" s="428" customFormat="1" ht="20.100000000000001" customHeight="1" thickBot="1">
      <c r="B107" s="29" t="s">
        <v>230</v>
      </c>
      <c r="C107" s="437">
        <f>IF($C$4="","",$C$103-$C$105)</f>
        <v>58249.559523809527</v>
      </c>
      <c r="E107" s="31" t="s">
        <v>231</v>
      </c>
      <c r="F107" s="971"/>
      <c r="G107" s="971"/>
      <c r="H107" s="971"/>
      <c r="I107" s="442">
        <f>IF($C$4="","",IF(C4=Annuités!I6,Annuités!I104,IF(C4=Annuités!L6,Annuités!L104,IF(C4=Annuités!O6,Annuités!O104,IF(C4=Annuités!R6,Annuités!R104,IF(C4=Annuités!U6,Annuités!U104,IF(C4=Annuités!X6,Annuités!X104,IF(C4=Annuités!AA6,Annuités!AA104,""))))))))</f>
        <v>7285.1074289304761</v>
      </c>
    </row>
    <row r="108" spans="2:11" s="428" customFormat="1" ht="20.100000000000001" customHeight="1" thickBot="1">
      <c r="C108" s="433"/>
      <c r="E108" s="32" t="s">
        <v>232</v>
      </c>
      <c r="F108" s="972"/>
      <c r="G108" s="972"/>
      <c r="H108" s="972"/>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714.5818772513652</v>
      </c>
      <c r="E109" s="33" t="s">
        <v>234</v>
      </c>
      <c r="F109" s="443"/>
      <c r="G109" s="444"/>
      <c r="H109" s="445"/>
      <c r="I109" s="397"/>
      <c r="K109" s="824">
        <f>I103/C35</f>
        <v>0.60643053645116918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11" s="428" customFormat="1" ht="20.100000000000001" customHeight="1" thickBot="1">
      <c r="B111" s="32" t="s">
        <v>236</v>
      </c>
      <c r="C111" s="396"/>
    </row>
    <row r="112" spans="2:11" s="428" customFormat="1" ht="20.100000000000001" customHeight="1" thickBot="1">
      <c r="B112" s="29" t="s">
        <v>207</v>
      </c>
      <c r="C112" s="430">
        <f>SUM(C109:C111)</f>
        <v>1014.5818772513652</v>
      </c>
    </row>
    <row r="113" spans="2:11" s="428" customFormat="1" ht="20.100000000000001" customHeight="1" thickBot="1">
      <c r="C113" s="433"/>
    </row>
    <row r="114" spans="2:11" s="428" customFormat="1" ht="20.100000000000001" customHeight="1" thickBot="1">
      <c r="B114" s="29" t="s">
        <v>237</v>
      </c>
      <c r="C114" s="437">
        <f>IF(C4="","",$C$107-$C$112)</f>
        <v>57234.97764655816</v>
      </c>
      <c r="E114" s="29" t="s">
        <v>238</v>
      </c>
      <c r="F114" s="970"/>
      <c r="G114" s="970"/>
      <c r="H114" s="970"/>
      <c r="I114" s="437">
        <f>IF($C$4="","",I103-I110)</f>
        <v>62954.892571069526</v>
      </c>
      <c r="K114" s="825" t="s">
        <v>576</v>
      </c>
    </row>
    <row r="115" spans="2:11" s="428" customFormat="1" ht="20.100000000000001" customHeight="1" thickBot="1">
      <c r="C115" s="433"/>
      <c r="K115" s="824">
        <f>I120/I103</f>
        <v>7.5912851872264334E-2</v>
      </c>
    </row>
    <row r="116" spans="2:11" s="428" customFormat="1" ht="20.100000000000001" customHeight="1" thickBot="1">
      <c r="B116" s="31" t="s">
        <v>239</v>
      </c>
      <c r="C116" s="398"/>
      <c r="E116" s="31" t="s">
        <v>240</v>
      </c>
      <c r="F116" s="971"/>
      <c r="G116" s="971"/>
      <c r="H116" s="971"/>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57600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57234.97764655816</v>
      </c>
      <c r="E120" s="29" t="s">
        <v>244</v>
      </c>
      <c r="F120" s="970"/>
      <c r="G120" s="970"/>
      <c r="H120" s="970"/>
      <c r="I120" s="437">
        <f>IF($C$4="","",I114-I116)</f>
        <v>5354.8925710695257</v>
      </c>
      <c r="K120" s="807"/>
    </row>
    <row r="121" spans="2:11" ht="20.100000000000001" customHeight="1"/>
  </sheetData>
  <sheetProtection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7" zoomScale="70" zoomScaleNormal="70" workbookViewId="0">
      <selection activeCell="C46" sqref="C46"/>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3" t="s">
        <v>183</v>
      </c>
      <c r="C2" s="904"/>
      <c r="D2" s="905"/>
      <c r="E2" s="392"/>
      <c r="F2" s="387">
        <f>'données éco.'!D4</f>
        <v>2028</v>
      </c>
    </row>
    <row r="5" spans="2:6" ht="36.75" customHeight="1">
      <c r="B5" s="961" t="s">
        <v>184</v>
      </c>
      <c r="C5" s="961"/>
      <c r="D5" s="388"/>
      <c r="E5" s="961" t="s">
        <v>185</v>
      </c>
      <c r="F5" s="961"/>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6" ht="20.100000000000001" customHeight="1">
      <c r="B33" s="359" t="s">
        <v>195</v>
      </c>
      <c r="C33" s="70"/>
      <c r="D33" s="91"/>
      <c r="E33" s="359" t="s">
        <v>580</v>
      </c>
      <c r="F33" s="70">
        <v>33339</v>
      </c>
    </row>
    <row r="34" spans="2:6" ht="20.100000000000001" customHeight="1">
      <c r="B34" s="366" t="s">
        <v>158</v>
      </c>
      <c r="C34" s="361">
        <f>SUM(C30:C33)</f>
        <v>0</v>
      </c>
      <c r="D34" s="91"/>
      <c r="E34" s="359" t="s">
        <v>562</v>
      </c>
      <c r="F34" s="70">
        <v>39000</v>
      </c>
    </row>
    <row r="35" spans="2:6" ht="20.100000000000001" customHeight="1">
      <c r="B35" s="380"/>
      <c r="C35" s="70"/>
      <c r="D35" s="355"/>
      <c r="E35" s="372" t="s">
        <v>579</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3"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75" t="s">
        <v>245</v>
      </c>
      <c r="J4" s="976"/>
      <c r="K4" s="976"/>
      <c r="L4" s="977"/>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(116000/3*13/100)</f>
        <v>5026.6666666666661</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8" t="s">
        <v>268</v>
      </c>
      <c r="Q17" s="978"/>
      <c r="R17" s="978"/>
      <c r="S17" s="978"/>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59.581499999999998</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462.45333333333326</v>
      </c>
      <c r="P26" s="793" t="s">
        <v>516</v>
      </c>
    </row>
    <row r="27" spans="9:20">
      <c r="I27" s="632" t="s">
        <v>267</v>
      </c>
      <c r="J27" s="646" t="str">
        <f>J26</f>
        <v>RP+  cotis</v>
      </c>
      <c r="K27" s="647">
        <v>5.0000000000000001E-3</v>
      </c>
      <c r="L27" s="648">
        <f>(J7+J8)*K27</f>
        <v>25.133333333333329</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79" t="s">
        <v>271</v>
      </c>
      <c r="J32" s="979"/>
      <c r="K32" s="979"/>
      <c r="L32" s="660">
        <f>SUM(L16:L31)</f>
        <v>3556.1361666666671</v>
      </c>
      <c r="P32" s="815" t="s">
        <v>542</v>
      </c>
    </row>
    <row r="33" spans="9:19" ht="15.75" thickBot="1">
      <c r="I33" s="980" t="s">
        <v>272</v>
      </c>
      <c r="J33" s="980"/>
      <c r="K33" s="980"/>
      <c r="L33" s="648">
        <f>(L25+L24)*0.2</f>
        <v>16.014000000000003</v>
      </c>
    </row>
    <row r="34" spans="9:19" ht="15.75" thickBot="1">
      <c r="I34" s="979" t="s">
        <v>273</v>
      </c>
      <c r="J34" s="979"/>
      <c r="K34" s="979"/>
      <c r="L34" s="660">
        <f>L32+L33</f>
        <v>3572.1501666666672</v>
      </c>
      <c r="P34" s="811" t="s">
        <v>536</v>
      </c>
      <c r="Q34" s="812"/>
      <c r="R34" s="813"/>
      <c r="S34" s="814">
        <v>20</v>
      </c>
    </row>
    <row r="35" spans="9:19" ht="15.75" thickBot="1">
      <c r="I35" s="632"/>
      <c r="J35" s="661"/>
      <c r="K35" s="659"/>
      <c r="L35" s="662"/>
      <c r="P35" s="811" t="s">
        <v>538</v>
      </c>
      <c r="Q35" s="812"/>
      <c r="R35" s="813"/>
      <c r="S35" s="814">
        <v>40</v>
      </c>
    </row>
    <row r="36" spans="9:19" ht="18.75" thickBot="1">
      <c r="I36" s="974" t="s">
        <v>274</v>
      </c>
      <c r="J36" s="974"/>
      <c r="K36" s="974"/>
      <c r="L36" s="974"/>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1" t="s">
        <v>279</v>
      </c>
      <c r="J49" s="981"/>
      <c r="K49" s="981"/>
      <c r="L49" s="671">
        <f>L48/J7</f>
        <v>0.34394149933687007</v>
      </c>
    </row>
    <row r="50" spans="9:12">
      <c r="I50" s="627"/>
      <c r="J50" s="627"/>
      <c r="K50" s="628"/>
      <c r="L50" s="627"/>
    </row>
    <row r="51" spans="9:12" ht="15.75" thickBot="1">
      <c r="I51" s="627"/>
      <c r="J51" s="627"/>
      <c r="K51" s="628"/>
      <c r="L51" s="627"/>
    </row>
    <row r="52" spans="9:12" ht="18.75" thickBot="1">
      <c r="I52" s="974" t="s">
        <v>526</v>
      </c>
      <c r="J52" s="974"/>
      <c r="K52" s="974"/>
      <c r="L52" s="974"/>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9" t="s">
        <v>271</v>
      </c>
      <c r="J62" s="979"/>
      <c r="K62" s="979"/>
      <c r="L62" s="672">
        <f>SUM(L55:L60)</f>
        <v>1753.1855499999999</v>
      </c>
    </row>
    <row r="63" spans="9:12">
      <c r="I63" s="632" t="s">
        <v>277</v>
      </c>
      <c r="J63" s="646"/>
      <c r="K63" s="647"/>
      <c r="L63" s="648">
        <f>L59*0.2</f>
        <v>16.013999999999999</v>
      </c>
    </row>
    <row r="64" spans="9:12">
      <c r="I64" s="979" t="s">
        <v>273</v>
      </c>
      <c r="J64" s="979"/>
      <c r="K64" s="979"/>
      <c r="L64" s="672">
        <f>L62+L63</f>
        <v>1769.1995499999998</v>
      </c>
    </row>
    <row r="65" spans="9:12" ht="15.75" thickBot="1">
      <c r="I65" s="634" t="s">
        <v>279</v>
      </c>
      <c r="J65" s="673"/>
      <c r="K65" s="674"/>
      <c r="L65" s="803">
        <f>L64/J7</f>
        <v>0.35196277519893898</v>
      </c>
    </row>
    <row r="66" spans="9:12" ht="15.75" thickBot="1">
      <c r="I66" s="627"/>
      <c r="J66" s="627"/>
      <c r="K66" s="628"/>
      <c r="L66" s="627"/>
    </row>
    <row r="67" spans="9:12" ht="15.75" hidden="1" thickBot="1">
      <c r="I67" s="627"/>
      <c r="J67" s="627"/>
      <c r="K67" s="628"/>
      <c r="L67" s="627"/>
    </row>
    <row r="68" spans="9:12" ht="18.75" hidden="1" thickBot="1">
      <c r="I68" s="974" t="s">
        <v>285</v>
      </c>
      <c r="J68" s="974"/>
      <c r="K68" s="974"/>
      <c r="L68" s="974"/>
    </row>
    <row r="69" spans="9:12" ht="15.75" hidden="1" thickBot="1">
      <c r="I69" s="627"/>
      <c r="J69" s="627"/>
      <c r="K69" s="628"/>
      <c r="L69" s="627"/>
    </row>
    <row r="70" spans="9:12" ht="15.75" hidden="1" thickBot="1">
      <c r="I70" s="627"/>
      <c r="J70" s="627"/>
      <c r="K70" s="628"/>
      <c r="L70" s="627"/>
    </row>
    <row r="71" spans="9:12" ht="15.75" hidden="1" thickBot="1">
      <c r="I71" s="982" t="s">
        <v>286</v>
      </c>
      <c r="J71" s="982"/>
      <c r="K71" s="982"/>
      <c r="L71" s="675">
        <f>IF(L6=$I$6,Q55,IF(L6=$I$8,R55,IF(L6=$I$10,S55,IF(L6=$I$9,R55,IF(L6=$I$7,T55,IF(L6=$I$5,T55,IF(L6=$I$4,T55)))))))</f>
        <v>0</v>
      </c>
    </row>
    <row r="72" spans="9:12" ht="15.75" hidden="1" thickBot="1">
      <c r="I72" s="980" t="s">
        <v>287</v>
      </c>
      <c r="J72" s="980"/>
      <c r="K72" s="980"/>
      <c r="L72" s="676">
        <f>IF(L6=$I$6,Q56,IF(L6=$I$8,R56,IF(L6=$I$10,S56,IF(L6=$I$9,R56,IF(L6=$I$7,T56,IF(L6=$I$5,T56,IF(L6=$I$4,T56)))))))</f>
        <v>0</v>
      </c>
    </row>
    <row r="73" spans="9:12" ht="15.75" hidden="1" thickBot="1">
      <c r="I73" s="980" t="s">
        <v>288</v>
      </c>
      <c r="J73" s="980"/>
      <c r="K73" s="980"/>
      <c r="L73" s="676">
        <f>IF(L6=$I$6,Q57,IF(L6=$I$8,R57,IF(L6=$I$10,S57,IF(L6=$I$9,R57,IF(L6=$I$7,T57,IF(L6=$I$5,T57,IF(L6=$I$4,T57)))))))</f>
        <v>0</v>
      </c>
    </row>
    <row r="74" spans="9:12" ht="15.75" hidden="1" thickBot="1">
      <c r="I74" s="981" t="s">
        <v>289</v>
      </c>
      <c r="J74" s="981"/>
      <c r="K74" s="981"/>
      <c r="L74" s="677">
        <f>IF(L6=$I$6,Q58,IF(L6=$I$8,R58,IF(L6=$I$10,S58,IF(L6=$I$9,R58,IF(L6=$I$7,T58,IF(L6=$I$5,T58,IF(L6=$I$4,T58)))))))</f>
        <v>0</v>
      </c>
    </row>
    <row r="75" spans="9:12" ht="18.75" thickBot="1">
      <c r="I75" s="974" t="s">
        <v>527</v>
      </c>
      <c r="J75" s="974"/>
      <c r="K75" s="974"/>
      <c r="L75" s="974"/>
    </row>
    <row r="76" spans="9:12" ht="15.75" thickBot="1">
      <c r="I76" s="809" t="s">
        <v>535</v>
      </c>
      <c r="J76" s="627"/>
      <c r="K76" s="628"/>
      <c r="L76" s="627"/>
    </row>
    <row r="77" spans="9:12">
      <c r="I77" s="643" t="s">
        <v>253</v>
      </c>
      <c r="J77" s="644" t="s">
        <v>254</v>
      </c>
      <c r="K77" s="644" t="s">
        <v>106</v>
      </c>
      <c r="L77" s="645" t="s">
        <v>104</v>
      </c>
    </row>
    <row r="78" spans="9:12">
      <c r="I78" s="632" t="s">
        <v>528</v>
      </c>
      <c r="J78" s="649">
        <f>J7</f>
        <v>5026.6666666666661</v>
      </c>
      <c r="K78" s="647">
        <v>0.14000000000000001</v>
      </c>
      <c r="L78" s="648">
        <f>J78*K78</f>
        <v>703.73333333333335</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462.45333333333326</v>
      </c>
    </row>
    <row r="82" spans="9:12">
      <c r="I82" s="632" t="s">
        <v>267</v>
      </c>
      <c r="J82" s="646" t="s">
        <v>266</v>
      </c>
      <c r="K82" s="647">
        <v>5.0000000000000001E-3</v>
      </c>
      <c r="L82" s="648">
        <f>(J7+J8)*K82</f>
        <v>25.133333333333329</v>
      </c>
    </row>
    <row r="83" spans="9:12">
      <c r="I83" s="632" t="s">
        <v>537</v>
      </c>
      <c r="J83" s="655" t="s">
        <v>533</v>
      </c>
      <c r="K83" s="647"/>
      <c r="L83" s="802">
        <f>S34</f>
        <v>20</v>
      </c>
    </row>
    <row r="84" spans="9:12">
      <c r="I84" s="979" t="s">
        <v>271</v>
      </c>
      <c r="J84" s="979"/>
      <c r="K84" s="979"/>
      <c r="L84" s="672">
        <f>SUM(L78:L83)</f>
        <v>1364.3400000000001</v>
      </c>
    </row>
    <row r="85" spans="9:12">
      <c r="I85" s="632" t="s">
        <v>277</v>
      </c>
      <c r="J85" s="646"/>
      <c r="K85" s="647"/>
      <c r="L85" s="648">
        <f>L80*0.2</f>
        <v>16.014000000000003</v>
      </c>
    </row>
    <row r="86" spans="9:12">
      <c r="I86" s="979" t="s">
        <v>273</v>
      </c>
      <c r="J86" s="979"/>
      <c r="K86" s="979"/>
      <c r="L86" s="672">
        <f>L84+L85</f>
        <v>1380.354</v>
      </c>
    </row>
    <row r="87" spans="9:12" ht="15.75" thickBot="1">
      <c r="I87" s="634" t="s">
        <v>279</v>
      </c>
      <c r="J87" s="673"/>
      <c r="K87" s="674"/>
      <c r="L87" s="803">
        <f>L86/J78</f>
        <v>0.27460623342175072</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565</v>
      </c>
      <c r="F6" s="1012"/>
      <c r="G6" s="1012"/>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3.291666666666667E-2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15.6</v>
      </c>
      <c r="G18" s="103">
        <f t="shared" si="0"/>
        <v>1.3541666666666667E-2</v>
      </c>
    </row>
    <row r="19" spans="2:7" ht="15.75" thickBot="1">
      <c r="B19" s="994"/>
      <c r="D19" s="918" t="s">
        <v>38</v>
      </c>
      <c r="E19" s="918"/>
      <c r="F19" s="403">
        <f>K7*'données éco.'!W44</f>
        <v>78</v>
      </c>
      <c r="G19" s="103">
        <f t="shared" si="0"/>
        <v>6.7708333333333329E-2</v>
      </c>
    </row>
    <row r="20" spans="2:7" ht="15.75" thickBot="1">
      <c r="B20" s="994"/>
      <c r="D20" s="918" t="s">
        <v>39</v>
      </c>
      <c r="E20" s="918"/>
      <c r="F20" s="403">
        <f>K7*'données éco.'!W45</f>
        <v>78</v>
      </c>
      <c r="G20" s="103">
        <f t="shared" si="0"/>
        <v>6.7708333333333329E-2</v>
      </c>
    </row>
    <row r="21" spans="2:7" ht="15.75" thickBot="1">
      <c r="B21" s="994"/>
      <c r="D21" s="918" t="s">
        <v>40</v>
      </c>
      <c r="E21" s="918"/>
      <c r="F21" s="403">
        <f>K7*'données éco.'!W46</f>
        <v>0</v>
      </c>
      <c r="G21" s="103">
        <f t="shared" si="0"/>
        <v>0</v>
      </c>
    </row>
    <row r="22" spans="2:7" ht="15.75" thickBot="1">
      <c r="B22" s="994"/>
      <c r="D22" s="918" t="s">
        <v>41</v>
      </c>
      <c r="E22" s="918"/>
      <c r="F22" s="403">
        <f>K7*'données éco.'!W47</f>
        <v>7.8</v>
      </c>
      <c r="G22" s="103">
        <f t="shared" si="0"/>
        <v>6.7708333333333336E-3</v>
      </c>
    </row>
    <row r="23" spans="2:7" ht="15.75" thickBot="1">
      <c r="B23" s="994"/>
      <c r="D23" s="918" t="s">
        <v>42</v>
      </c>
      <c r="E23" s="918"/>
      <c r="F23" s="403">
        <f>K7*'données éco.'!W48</f>
        <v>0</v>
      </c>
      <c r="G23" s="103">
        <f t="shared" si="0"/>
        <v>0</v>
      </c>
    </row>
    <row r="24" spans="2:7" ht="15.75" thickBot="1">
      <c r="B24" s="994"/>
      <c r="D24" s="918" t="s">
        <v>43</v>
      </c>
      <c r="E24" s="918"/>
      <c r="F24" s="403">
        <f>K7*'données éco.'!W49</f>
        <v>7.8</v>
      </c>
      <c r="G24" s="103">
        <f t="shared" si="0"/>
        <v>6.7708333333333336E-3</v>
      </c>
    </row>
    <row r="25" spans="2:7" ht="15.75" thickBot="1">
      <c r="B25" s="994"/>
      <c r="D25" s="918" t="s">
        <v>44</v>
      </c>
      <c r="E25" s="918"/>
      <c r="F25" s="403">
        <f>K7*'données éco.'!W50</f>
        <v>0</v>
      </c>
      <c r="G25" s="103">
        <f t="shared" si="0"/>
        <v>0</v>
      </c>
    </row>
    <row r="26" spans="2:7" ht="15.75" thickBot="1">
      <c r="B26" s="994"/>
      <c r="D26" s="918" t="s">
        <v>45</v>
      </c>
      <c r="E26" s="918"/>
      <c r="F26" s="403">
        <f>K7*'données éco.'!W51</f>
        <v>165.36</v>
      </c>
      <c r="G26" s="103">
        <f t="shared" si="0"/>
        <v>0.14354166666666668</v>
      </c>
    </row>
    <row r="27" spans="2:7" ht="15.75" thickBot="1">
      <c r="B27" s="994"/>
      <c r="D27" s="918" t="s">
        <v>46</v>
      </c>
      <c r="E27" s="918"/>
      <c r="F27" s="403">
        <f>K7*'données éco.'!W52</f>
        <v>526.5</v>
      </c>
      <c r="G27" s="103">
        <f t="shared" si="0"/>
        <v>0.45703125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916.98</v>
      </c>
      <c r="G41" s="46">
        <f>IF($E$7="","",F41/E7)</f>
        <v>0.79598958333333336</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95.55</v>
      </c>
      <c r="G45" s="103">
        <f t="shared" ref="G45:G70" si="1">IF($E$7="","",F45/$E$7)</f>
        <v>8.2942708333333337E-2</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1.3715277777777778E-2</v>
      </c>
    </row>
    <row r="48" spans="2:7" ht="15.75" hidden="1" thickBot="1">
      <c r="B48" s="994"/>
      <c r="D48" s="918" t="s">
        <v>52</v>
      </c>
      <c r="E48" s="918"/>
      <c r="F48" s="403">
        <f>0.0316*'données éco.'!W72</f>
        <v>79.000000000000014</v>
      </c>
      <c r="G48" s="103">
        <f t="shared" si="1"/>
        <v>6.8576388888888895E-2</v>
      </c>
    </row>
    <row r="49" spans="2:7" ht="15.75" hidden="1" thickBot="1">
      <c r="B49" s="994"/>
      <c r="D49" s="918" t="s">
        <v>53</v>
      </c>
      <c r="E49" s="918"/>
      <c r="F49" s="403">
        <f>0.0316*'données éco.'!W73</f>
        <v>15.8</v>
      </c>
      <c r="G49" s="103">
        <f t="shared" si="1"/>
        <v>1.3715277777777778E-2</v>
      </c>
    </row>
    <row r="50" spans="2:7" ht="15.75" hidden="1" thickBot="1">
      <c r="B50" s="994"/>
      <c r="D50" s="918" t="s">
        <v>54</v>
      </c>
      <c r="E50" s="918"/>
      <c r="F50" s="403">
        <f>0.0316*'données éco.'!W74+0.0316*'données éco.'!W75</f>
        <v>15.8</v>
      </c>
      <c r="G50" s="103">
        <f t="shared" si="1"/>
        <v>1.3715277777777778E-2</v>
      </c>
    </row>
    <row r="51" spans="2:7" ht="15.75" hidden="1" thickBot="1">
      <c r="B51" s="994"/>
      <c r="D51" s="918" t="s">
        <v>56</v>
      </c>
      <c r="E51" s="918"/>
      <c r="F51" s="403">
        <f>0.0316*'données éco.'!W76</f>
        <v>44.24</v>
      </c>
      <c r="G51" s="103">
        <f t="shared" si="1"/>
        <v>3.8402777777777779E-2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8.2291666666666676E-3</v>
      </c>
    </row>
    <row r="55" spans="2:7" ht="15.75" hidden="1" thickBot="1">
      <c r="B55" s="994"/>
      <c r="D55" s="918" t="s">
        <v>60</v>
      </c>
      <c r="E55" s="918"/>
      <c r="F55" s="403">
        <f>0.0316*'données éco.'!W80</f>
        <v>15.8</v>
      </c>
      <c r="G55" s="103">
        <f t="shared" si="1"/>
        <v>1.3715277777777778E-2</v>
      </c>
    </row>
    <row r="56" spans="2:7" ht="15.75" thickBot="1">
      <c r="B56" s="994"/>
      <c r="D56" s="918" t="s">
        <v>61</v>
      </c>
      <c r="E56" s="918"/>
      <c r="F56" s="403">
        <f>K7*'données éco.'!W81</f>
        <v>117</v>
      </c>
      <c r="G56" s="103">
        <f t="shared" si="1"/>
        <v>0.1015625</v>
      </c>
    </row>
    <row r="57" spans="2:7" ht="15.75" hidden="1" thickBot="1">
      <c r="B57" s="994"/>
      <c r="D57" s="918" t="s">
        <v>62</v>
      </c>
      <c r="E57" s="918"/>
      <c r="F57" s="403">
        <f>0.0316*'données éco.'!W82</f>
        <v>7.9</v>
      </c>
      <c r="G57" s="103">
        <f t="shared" si="1"/>
        <v>6.8576388888888888E-3</v>
      </c>
    </row>
    <row r="58" spans="2:7" ht="15.75" hidden="1" thickBot="1">
      <c r="B58" s="994"/>
      <c r="D58" s="918" t="s">
        <v>63</v>
      </c>
      <c r="E58" s="918"/>
      <c r="F58" s="403">
        <f>0.0316*'données éco.'!W83</f>
        <v>7.9</v>
      </c>
      <c r="G58" s="103">
        <f t="shared" si="1"/>
        <v>6.8576388888888888E-3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288.60000000000002</v>
      </c>
      <c r="G61" s="103">
        <f t="shared" si="1"/>
        <v>0.25052083333333336</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4.114583333333334E-2</v>
      </c>
    </row>
    <row r="64" spans="2:7" ht="15.75" thickBot="1">
      <c r="B64" s="994"/>
      <c r="D64" s="918" t="s">
        <v>69</v>
      </c>
      <c r="E64" s="918"/>
      <c r="F64" s="403">
        <f>K7*'données éco.'!W89</f>
        <v>126.75</v>
      </c>
      <c r="G64" s="103">
        <f t="shared" si="1"/>
        <v>0.11002604166666667</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887.0200000000001</v>
      </c>
      <c r="G71" s="46">
        <f>IF($E$7="","",F71/E7)</f>
        <v>0.76998263888888896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518.27099999999996</v>
      </c>
      <c r="G74" s="103">
        <f>IF($E$7="","",F74/$E$7)</f>
        <v>0.44988802083333329</v>
      </c>
    </row>
    <row r="75" spans="2:7" ht="15.75" thickBot="1">
      <c r="B75" s="994"/>
      <c r="D75" s="1002" t="s">
        <v>301</v>
      </c>
      <c r="E75" s="1002"/>
      <c r="F75" s="403">
        <v>0</v>
      </c>
      <c r="G75" s="103">
        <f t="shared" ref="G75" si="2">IF($E$7="","",F75/$E$7)</f>
        <v>0</v>
      </c>
    </row>
    <row r="76" spans="2:7" ht="15.75" thickBot="1">
      <c r="B76" s="994"/>
      <c r="D76" s="1003"/>
      <c r="E76" s="1003"/>
      <c r="F76" s="1003"/>
      <c r="G76" s="1003"/>
    </row>
    <row r="77" spans="2:7" ht="15.6" customHeight="1" thickBot="1">
      <c r="B77" s="994"/>
      <c r="D77" s="998" t="s">
        <v>470</v>
      </c>
      <c r="E77" s="999"/>
      <c r="F77" s="45">
        <f>SUM(F71:F75)</f>
        <v>1405.2910000000002</v>
      </c>
      <c r="G77" s="46">
        <f>IF($E$7="","",F77/E7)</f>
        <v>1.2198706597222224</v>
      </c>
    </row>
    <row r="78" spans="2:7" ht="13.5" thickBot="1">
      <c r="B78" s="994"/>
      <c r="D78" s="992"/>
      <c r="E78" s="992"/>
      <c r="F78" s="992"/>
      <c r="G78" s="992"/>
    </row>
    <row r="79" spans="2:7" ht="16.5" thickBot="1">
      <c r="B79" s="994"/>
      <c r="D79" s="993" t="s">
        <v>302</v>
      </c>
      <c r="E79" s="993"/>
      <c r="F79" s="47">
        <f>F41+F77</f>
        <v>2322.2710000000002</v>
      </c>
      <c r="G79" s="48">
        <f>IF($E$7="","",F79/E7)</f>
        <v>2.0158602430555557</v>
      </c>
    </row>
    <row r="80" spans="2:7" ht="16.5" thickBot="1">
      <c r="D80" s="49"/>
      <c r="E80" s="39"/>
      <c r="F80" s="50"/>
      <c r="G80" s="51"/>
    </row>
    <row r="81" spans="2:11" ht="15" customHeight="1" thickBot="1">
      <c r="B81" s="994" t="s">
        <v>303</v>
      </c>
      <c r="D81" s="995" t="s">
        <v>304</v>
      </c>
      <c r="E81" s="995"/>
      <c r="F81" s="105">
        <f>E7*E8</f>
        <v>5184</v>
      </c>
      <c r="G81" s="104">
        <f>IF($E$7="","",$E$8)</f>
        <v>4.5</v>
      </c>
    </row>
    <row r="82" spans="2:11" ht="21" customHeight="1" thickBot="1">
      <c r="B82" s="994"/>
      <c r="D82" s="996" t="s">
        <v>305</v>
      </c>
      <c r="E82" s="996"/>
      <c r="F82" s="403">
        <f>K7*3420</f>
        <v>133.38</v>
      </c>
      <c r="G82" s="103">
        <f>IF($E$7="","",F82/$E$7)</f>
        <v>0.11578125</v>
      </c>
      <c r="K82" s="823">
        <f>$F$74/$F$103</f>
        <v>0.11491364586656898</v>
      </c>
    </row>
    <row r="83" spans="2:11" ht="15" customHeight="1" thickBot="1">
      <c r="B83" s="994"/>
      <c r="D83" s="987"/>
      <c r="E83" s="987"/>
      <c r="F83" s="987"/>
      <c r="G83" s="987"/>
    </row>
    <row r="84" spans="2:11" ht="16.5" thickBot="1">
      <c r="B84" s="994"/>
      <c r="D84" s="997" t="s">
        <v>306</v>
      </c>
      <c r="E84" s="997"/>
      <c r="F84" s="52">
        <f>F82+F81</f>
        <v>5317.38</v>
      </c>
      <c r="G84" s="53">
        <f>IF($E$7="","",F84/E7)</f>
        <v>4.6157812500000004</v>
      </c>
    </row>
    <row r="85" spans="2:11" ht="15.75" thickBot="1">
      <c r="D85" s="39"/>
      <c r="E85" s="54"/>
      <c r="F85" s="55"/>
      <c r="G85" s="51"/>
    </row>
    <row r="86" spans="2:11" ht="31.9" customHeight="1" thickBot="1">
      <c r="D86" s="989" t="s">
        <v>349</v>
      </c>
      <c r="E86" s="989"/>
      <c r="F86" s="56">
        <f>F84-F79</f>
        <v>2995.1089999999999</v>
      </c>
      <c r="G86" s="57">
        <f>IF($E$7="","",F86/E7)</f>
        <v>2.5999210069444443</v>
      </c>
    </row>
    <row r="87" spans="2:11" ht="16.5" thickBot="1">
      <c r="D87" s="58"/>
      <c r="E87" s="39"/>
      <c r="F87" s="41"/>
      <c r="G87" s="59"/>
    </row>
    <row r="88" spans="2:11" ht="15" customHeight="1" thickBot="1">
      <c r="B88" s="984" t="s">
        <v>307</v>
      </c>
      <c r="D88" s="990" t="s">
        <v>308</v>
      </c>
      <c r="E88" s="990"/>
      <c r="F88" s="405">
        <v>251</v>
      </c>
      <c r="G88" s="60"/>
    </row>
    <row r="89" spans="2:11" ht="15.75" thickBot="1">
      <c r="B89" s="984"/>
      <c r="D89" s="991" t="s">
        <v>309</v>
      </c>
      <c r="E89" s="991"/>
      <c r="F89" s="404">
        <v>8.5</v>
      </c>
      <c r="G89" s="61"/>
    </row>
    <row r="90" spans="2:11" ht="15.6" customHeight="1" thickBot="1">
      <c r="B90" s="984"/>
      <c r="D90" s="992"/>
      <c r="E90" s="992"/>
      <c r="F90" s="992"/>
      <c r="G90" s="992"/>
    </row>
    <row r="91" spans="2:11" ht="16.5" thickBot="1">
      <c r="B91" s="984"/>
      <c r="D91" s="983" t="s">
        <v>310</v>
      </c>
      <c r="E91" s="983"/>
      <c r="F91" s="62">
        <f>F88*F89</f>
        <v>2133.5</v>
      </c>
      <c r="G91" s="63">
        <f>IF($E$7="","",F91/$E$7)</f>
        <v>1.8519965277777777</v>
      </c>
    </row>
    <row r="92" spans="2:11" ht="15.75" thickBot="1">
      <c r="D92" s="39"/>
      <c r="E92" s="39"/>
      <c r="F92" s="41"/>
      <c r="G92" s="51"/>
    </row>
    <row r="93" spans="2:11" ht="15" customHeight="1" thickBot="1">
      <c r="B93" s="984" t="s">
        <v>311</v>
      </c>
      <c r="D93" s="985" t="s">
        <v>312</v>
      </c>
      <c r="E93" s="985"/>
      <c r="F93" s="405">
        <f>K7*69000</f>
        <v>2691</v>
      </c>
      <c r="G93" s="64"/>
    </row>
    <row r="94" spans="2:11" ht="15.75" thickBot="1">
      <c r="B94" s="984"/>
      <c r="D94" s="986" t="s">
        <v>313</v>
      </c>
      <c r="E94" s="986"/>
      <c r="F94" s="406">
        <v>0.02</v>
      </c>
      <c r="G94" s="65"/>
    </row>
    <row r="95" spans="2:11" ht="13.5" thickBot="1">
      <c r="B95" s="984"/>
      <c r="D95" s="987"/>
      <c r="E95" s="987"/>
      <c r="F95" s="987"/>
      <c r="G95" s="987"/>
    </row>
    <row r="96" spans="2:11" ht="16.5" thickBot="1">
      <c r="B96" s="984"/>
      <c r="D96" s="988" t="s">
        <v>314</v>
      </c>
      <c r="E96" s="988"/>
      <c r="F96" s="66">
        <f>F93*F94</f>
        <v>53.82</v>
      </c>
      <c r="G96" s="67">
        <f>IF($E$7="","",F96/$E$7)</f>
        <v>4.6718750000000003E-2</v>
      </c>
    </row>
    <row r="97" spans="2:10" ht="15.75" thickBot="1">
      <c r="D97" s="39"/>
      <c r="E97" s="39"/>
      <c r="F97" s="41"/>
      <c r="G97" s="42"/>
    </row>
    <row r="98" spans="2:10" ht="15" customHeight="1" thickBot="1">
      <c r="B98" s="984" t="s">
        <v>327</v>
      </c>
      <c r="D98" s="985" t="s">
        <v>315</v>
      </c>
      <c r="E98" s="985"/>
      <c r="F98" s="407">
        <v>0.02</v>
      </c>
      <c r="G98" s="64"/>
    </row>
    <row r="99" spans="2:10" ht="15.75" thickBot="1">
      <c r="B99" s="984"/>
      <c r="D99" s="986" t="s">
        <v>316</v>
      </c>
      <c r="E99" s="986"/>
      <c r="F99" s="408">
        <v>25</v>
      </c>
      <c r="G99" s="68"/>
    </row>
    <row r="100" spans="2:10" ht="13.5" thickBot="1">
      <c r="B100" s="984"/>
      <c r="D100" s="987"/>
      <c r="E100" s="987"/>
      <c r="F100" s="987"/>
      <c r="G100" s="987"/>
    </row>
    <row r="101" spans="2:10" ht="16.5" thickBot="1">
      <c r="B101" s="984"/>
      <c r="D101" s="988" t="s">
        <v>317</v>
      </c>
      <c r="E101" s="988"/>
      <c r="F101" s="66">
        <f>F98*F99</f>
        <v>0.5</v>
      </c>
      <c r="G101" s="67">
        <f>IF($E$7="","",F101/$E$7)</f>
        <v>4.3402777777777775E-4</v>
      </c>
    </row>
    <row r="102" spans="2:10" ht="15.75" thickBot="1">
      <c r="D102" s="39"/>
      <c r="E102" s="39"/>
      <c r="F102" s="41"/>
      <c r="G102" s="42"/>
    </row>
    <row r="103" spans="2:10" ht="16.5" thickBot="1">
      <c r="D103" s="983" t="s">
        <v>318</v>
      </c>
      <c r="E103" s="983"/>
      <c r="F103" s="62">
        <f>F101+F96+F91+F79</f>
        <v>4510.0910000000003</v>
      </c>
      <c r="G103" s="63">
        <f>IF($E$7="","",F103/E7)</f>
        <v>3.9150095486111116</v>
      </c>
    </row>
    <row r="104" spans="2:10" ht="13.5" thickBot="1"/>
    <row r="105" spans="2:10" ht="16.5" thickBot="1">
      <c r="D105" s="983" t="s">
        <v>472</v>
      </c>
      <c r="E105" s="983"/>
      <c r="F105" s="62">
        <f>F101+F96+F91+F79-F82</f>
        <v>4376.7110000000002</v>
      </c>
      <c r="G105" s="63">
        <f>IF($E$7="","",F105/E7)</f>
        <v>3.7992282986111112</v>
      </c>
      <c r="J105" s="823">
        <f>1-G105/G107</f>
        <v>0.15572704475308641</v>
      </c>
    </row>
    <row r="106" spans="2:10" ht="13.5" thickBot="1"/>
    <row r="107" spans="2:10" ht="16.5" thickBot="1">
      <c r="D107" s="983" t="s">
        <v>319</v>
      </c>
      <c r="E107" s="983"/>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10" zoomScale="70" zoomScaleNormal="70" workbookViewId="0">
      <selection activeCell="F88" sqref="F8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571</v>
      </c>
      <c r="F6" s="1012"/>
      <c r="G6" s="1012"/>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1.3166666666666667E-2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52</v>
      </c>
      <c r="G18" s="103">
        <f t="shared" si="0"/>
        <v>1.8055555555555554E-2</v>
      </c>
    </row>
    <row r="19" spans="2:7" ht="15.75" thickBot="1">
      <c r="B19" s="994"/>
      <c r="D19" s="918" t="s">
        <v>38</v>
      </c>
      <c r="E19" s="918"/>
      <c r="F19" s="403">
        <f>K7*'données éco.'!W44</f>
        <v>260</v>
      </c>
      <c r="G19" s="103">
        <f t="shared" si="0"/>
        <v>9.0277777777777776E-2</v>
      </c>
    </row>
    <row r="20" spans="2:7" ht="15.75" thickBot="1">
      <c r="B20" s="994"/>
      <c r="D20" s="918" t="s">
        <v>39</v>
      </c>
      <c r="E20" s="918"/>
      <c r="F20" s="403">
        <f>K7*'données éco.'!W45</f>
        <v>260</v>
      </c>
      <c r="G20" s="103">
        <f t="shared" si="0"/>
        <v>9.0277777777777776E-2</v>
      </c>
    </row>
    <row r="21" spans="2:7" ht="15.75" thickBot="1">
      <c r="B21" s="994"/>
      <c r="D21" s="918" t="s">
        <v>40</v>
      </c>
      <c r="E21" s="918"/>
      <c r="F21" s="403">
        <f>K7*'données éco.'!W46</f>
        <v>0</v>
      </c>
      <c r="G21" s="103">
        <f t="shared" si="0"/>
        <v>0</v>
      </c>
    </row>
    <row r="22" spans="2:7" ht="15.75" thickBot="1">
      <c r="B22" s="994"/>
      <c r="D22" s="918" t="s">
        <v>41</v>
      </c>
      <c r="E22" s="918"/>
      <c r="F22" s="403">
        <f>K7*'données éco.'!W47</f>
        <v>26</v>
      </c>
      <c r="G22" s="103">
        <f t="shared" si="0"/>
        <v>9.0277777777777769E-3</v>
      </c>
    </row>
    <row r="23" spans="2:7" ht="15.75" thickBot="1">
      <c r="B23" s="994"/>
      <c r="D23" s="918" t="s">
        <v>42</v>
      </c>
      <c r="E23" s="918"/>
      <c r="F23" s="403">
        <f>K7*'données éco.'!W48</f>
        <v>0</v>
      </c>
      <c r="G23" s="103">
        <f t="shared" si="0"/>
        <v>0</v>
      </c>
    </row>
    <row r="24" spans="2:7" ht="15.75" thickBot="1">
      <c r="B24" s="994"/>
      <c r="D24" s="918" t="s">
        <v>43</v>
      </c>
      <c r="E24" s="918"/>
      <c r="F24" s="403">
        <f>K7*'données éco.'!W49</f>
        <v>26</v>
      </c>
      <c r="G24" s="103">
        <f t="shared" si="0"/>
        <v>9.0277777777777769E-3</v>
      </c>
    </row>
    <row r="25" spans="2:7" ht="15.75" thickBot="1">
      <c r="B25" s="994"/>
      <c r="D25" s="918" t="s">
        <v>44</v>
      </c>
      <c r="E25" s="918"/>
      <c r="F25" s="403">
        <f>K7*'données éco.'!W50</f>
        <v>0</v>
      </c>
      <c r="G25" s="103">
        <f t="shared" si="0"/>
        <v>0</v>
      </c>
    </row>
    <row r="26" spans="2:7" ht="15.75" thickBot="1">
      <c r="B26" s="994"/>
      <c r="D26" s="918" t="s">
        <v>45</v>
      </c>
      <c r="E26" s="918"/>
      <c r="F26" s="403">
        <f>K7*'données éco.'!W51</f>
        <v>551.20000000000005</v>
      </c>
      <c r="G26" s="103">
        <f t="shared" si="0"/>
        <v>0.19138888888888891</v>
      </c>
    </row>
    <row r="27" spans="2:7" ht="15.75" thickBot="1">
      <c r="B27" s="994"/>
      <c r="D27" s="918" t="s">
        <v>46</v>
      </c>
      <c r="E27" s="918"/>
      <c r="F27" s="403">
        <f>K7*'données éco.'!W52</f>
        <v>1755</v>
      </c>
      <c r="G27" s="103">
        <f t="shared" si="0"/>
        <v>0.609375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2968.12</v>
      </c>
      <c r="G41" s="46">
        <f>IF($E$7="","",F41/E7)</f>
        <v>1.0305972222222222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318.5</v>
      </c>
      <c r="G45" s="103">
        <f t="shared" ref="G45:G70" si="1">IF($E$7="","",F45/$E$7)</f>
        <v>0.11059027777777777</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5.4861111111111117E-3</v>
      </c>
    </row>
    <row r="48" spans="2:7" ht="15.75" hidden="1" thickBot="1">
      <c r="B48" s="994"/>
      <c r="D48" s="918" t="s">
        <v>52</v>
      </c>
      <c r="E48" s="918"/>
      <c r="F48" s="403">
        <f>0.0316*'données éco.'!W72</f>
        <v>79.000000000000014</v>
      </c>
      <c r="G48" s="103">
        <f t="shared" si="1"/>
        <v>2.7430555555555562E-2</v>
      </c>
    </row>
    <row r="49" spans="2:11" ht="15.75" hidden="1" thickBot="1">
      <c r="B49" s="994"/>
      <c r="D49" s="918" t="s">
        <v>53</v>
      </c>
      <c r="E49" s="918"/>
      <c r="F49" s="403">
        <f>0.0316*'données éco.'!W73</f>
        <v>15.8</v>
      </c>
      <c r="G49" s="103">
        <f t="shared" si="1"/>
        <v>5.4861111111111117E-3</v>
      </c>
    </row>
    <row r="50" spans="2:11" ht="15.75" hidden="1" thickBot="1">
      <c r="B50" s="994"/>
      <c r="D50" s="918" t="s">
        <v>54</v>
      </c>
      <c r="E50" s="918"/>
      <c r="F50" s="403">
        <f>0.0316*'données éco.'!W74+0.0316*'données éco.'!W75</f>
        <v>15.8</v>
      </c>
      <c r="G50" s="103">
        <f t="shared" si="1"/>
        <v>5.4861111111111117E-3</v>
      </c>
    </row>
    <row r="51" spans="2:11" ht="15.75" hidden="1" thickBot="1">
      <c r="B51" s="994"/>
      <c r="D51" s="918" t="s">
        <v>56</v>
      </c>
      <c r="E51" s="918"/>
      <c r="F51" s="403">
        <f>0.0316*'données éco.'!W76</f>
        <v>44.24</v>
      </c>
      <c r="G51" s="103">
        <f t="shared" si="1"/>
        <v>1.5361111111111112E-2</v>
      </c>
    </row>
    <row r="52" spans="2:11" ht="15.75" hidden="1" thickBot="1">
      <c r="B52" s="994"/>
      <c r="D52" s="918" t="s">
        <v>57</v>
      </c>
      <c r="E52" s="918"/>
      <c r="F52" s="403"/>
      <c r="G52" s="103">
        <f t="shared" si="1"/>
        <v>0</v>
      </c>
    </row>
    <row r="53" spans="2:11" ht="15.75" hidden="1" thickBot="1">
      <c r="B53" s="994"/>
      <c r="D53" s="918" t="s">
        <v>58</v>
      </c>
      <c r="E53" s="918"/>
      <c r="F53" s="403"/>
      <c r="G53" s="103">
        <f t="shared" si="1"/>
        <v>0</v>
      </c>
    </row>
    <row r="54" spans="2:11" ht="15.75" hidden="1" thickBot="1">
      <c r="B54" s="994"/>
      <c r="D54" s="918" t="s">
        <v>59</v>
      </c>
      <c r="E54" s="918"/>
      <c r="F54" s="403">
        <f>0.0316*'données éco.'!W79</f>
        <v>9.48</v>
      </c>
      <c r="G54" s="103">
        <f t="shared" si="1"/>
        <v>3.2916666666666667E-3</v>
      </c>
    </row>
    <row r="55" spans="2:11" ht="15.75" hidden="1" thickBot="1">
      <c r="B55" s="994"/>
      <c r="D55" s="918" t="s">
        <v>60</v>
      </c>
      <c r="E55" s="918"/>
      <c r="F55" s="403">
        <f>0.0316*'données éco.'!W80</f>
        <v>15.8</v>
      </c>
      <c r="G55" s="103">
        <f t="shared" si="1"/>
        <v>5.4861111111111117E-3</v>
      </c>
    </row>
    <row r="56" spans="2:11" ht="15.75" thickBot="1">
      <c r="B56" s="994"/>
      <c r="D56" s="918" t="s">
        <v>61</v>
      </c>
      <c r="E56" s="918"/>
      <c r="F56" s="403">
        <f>K7*'données éco.'!W81</f>
        <v>390</v>
      </c>
      <c r="G56" s="103">
        <f t="shared" si="1"/>
        <v>0.13541666666666666</v>
      </c>
    </row>
    <row r="57" spans="2:11" ht="15.75" hidden="1" thickBot="1">
      <c r="B57" s="994"/>
      <c r="D57" s="918" t="s">
        <v>62</v>
      </c>
      <c r="E57" s="918"/>
      <c r="F57" s="403">
        <f>0.0316*'données éco.'!W82</f>
        <v>7.9</v>
      </c>
      <c r="G57" s="103">
        <f t="shared" si="1"/>
        <v>2.7430555555555559E-3</v>
      </c>
    </row>
    <row r="58" spans="2:11" ht="15.75" hidden="1" thickBot="1">
      <c r="B58" s="994"/>
      <c r="D58" s="918" t="s">
        <v>63</v>
      </c>
      <c r="E58" s="918"/>
      <c r="F58" s="403">
        <f>0.0316*'données éco.'!W83</f>
        <v>7.9</v>
      </c>
      <c r="G58" s="103">
        <f t="shared" si="1"/>
        <v>2.7430555555555559E-3</v>
      </c>
    </row>
    <row r="59" spans="2:11" ht="15.75" hidden="1" thickBot="1">
      <c r="B59" s="994"/>
      <c r="D59" s="918" t="s">
        <v>64</v>
      </c>
      <c r="E59" s="918"/>
      <c r="F59" s="403">
        <f>0.0316*'données éco.'!W84</f>
        <v>0</v>
      </c>
      <c r="G59" s="103">
        <f t="shared" si="1"/>
        <v>0</v>
      </c>
    </row>
    <row r="60" spans="2:11" ht="15.75" hidden="1" thickBot="1">
      <c r="B60" s="994"/>
      <c r="D60" s="918" t="s">
        <v>65</v>
      </c>
      <c r="E60" s="918"/>
      <c r="F60" s="403">
        <f>0.0316*'données éco.'!W85</f>
        <v>0</v>
      </c>
      <c r="G60" s="103">
        <f t="shared" si="1"/>
        <v>0</v>
      </c>
    </row>
    <row r="61" spans="2:11" ht="15.75" thickBot="1">
      <c r="B61" s="994"/>
      <c r="D61" s="918" t="s">
        <v>66</v>
      </c>
      <c r="E61" s="918"/>
      <c r="F61" s="403">
        <f>K7*'données éco.'!W86</f>
        <v>962</v>
      </c>
      <c r="G61" s="103">
        <f t="shared" si="1"/>
        <v>0.33402777777777776</v>
      </c>
      <c r="K61" s="823">
        <f>$F$74/$F$103</f>
        <v>0.15530170910359264</v>
      </c>
    </row>
    <row r="62" spans="2:11" ht="15.75" hidden="1" thickBot="1">
      <c r="B62" s="994"/>
      <c r="D62" s="918" t="s">
        <v>67</v>
      </c>
      <c r="E62" s="918"/>
      <c r="F62" s="403">
        <f>0.0316*'données éco.'!W87</f>
        <v>0</v>
      </c>
      <c r="G62" s="103">
        <f t="shared" si="1"/>
        <v>0</v>
      </c>
    </row>
    <row r="63" spans="2:11" ht="15.75" hidden="1" thickBot="1">
      <c r="B63" s="994"/>
      <c r="D63" s="918" t="s">
        <v>68</v>
      </c>
      <c r="E63" s="918"/>
      <c r="F63" s="403">
        <f>0.0316*'données éco.'!W88</f>
        <v>47.400000000000006</v>
      </c>
      <c r="G63" s="103">
        <f t="shared" si="1"/>
        <v>1.6458333333333335E-2</v>
      </c>
    </row>
    <row r="64" spans="2:11" ht="15.75" thickBot="1">
      <c r="B64" s="994"/>
      <c r="D64" s="918" t="s">
        <v>69</v>
      </c>
      <c r="E64" s="918"/>
      <c r="F64" s="403">
        <f>K7*'données éco.'!W89</f>
        <v>422.5</v>
      </c>
      <c r="G64" s="103">
        <f t="shared" si="1"/>
        <v>0.1467013888888889</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2352.12</v>
      </c>
      <c r="G71" s="46">
        <f>IF($E$7="","",F71/E7)</f>
        <v>0.81670833333333326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1727.5700000000002</v>
      </c>
      <c r="G74" s="103">
        <f t="shared" ref="G74:G75" si="2">IF($E$7="","",F74/$E$7)</f>
        <v>0.5998506944444445</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4079.69</v>
      </c>
      <c r="G77" s="46">
        <f>IF($E$7="","",F77/E7)</f>
        <v>1.4165590277777778</v>
      </c>
    </row>
    <row r="78" spans="2:7" ht="13.5" thickBot="1">
      <c r="B78" s="994"/>
      <c r="D78" s="992"/>
      <c r="E78" s="992"/>
      <c r="F78" s="992"/>
      <c r="G78" s="992"/>
    </row>
    <row r="79" spans="2:7" ht="16.5" thickBot="1">
      <c r="B79" s="994"/>
      <c r="D79" s="993" t="s">
        <v>302</v>
      </c>
      <c r="E79" s="993"/>
      <c r="F79" s="47">
        <f>F41+F77</f>
        <v>7047.8099999999995</v>
      </c>
      <c r="G79" s="48">
        <f>IF($E$7="","",F79/E7)</f>
        <v>2.4471562499999999</v>
      </c>
    </row>
    <row r="80" spans="2:7" ht="16.5" thickBot="1">
      <c r="D80" s="49"/>
      <c r="E80" s="39"/>
      <c r="F80" s="50"/>
      <c r="G80" s="51"/>
    </row>
    <row r="81" spans="2:7" ht="15" customHeight="1" thickBot="1">
      <c r="B81" s="994" t="s">
        <v>303</v>
      </c>
      <c r="D81" s="995" t="s">
        <v>304</v>
      </c>
      <c r="E81" s="995"/>
      <c r="F81" s="105">
        <f>E7*E8</f>
        <v>7200</v>
      </c>
      <c r="G81" s="104">
        <f>IF($E$7="","",$E$8)</f>
        <v>2.5</v>
      </c>
    </row>
    <row r="82" spans="2:7" ht="21" customHeight="1" thickBot="1">
      <c r="B82" s="994"/>
      <c r="D82" s="996" t="s">
        <v>305</v>
      </c>
      <c r="E82" s="996"/>
      <c r="F82" s="403">
        <f>K7*13289</f>
        <v>1727.5700000000002</v>
      </c>
      <c r="G82" s="103">
        <f>IF($E$7="","",F82/$E$7)</f>
        <v>0.5998506944444445</v>
      </c>
    </row>
    <row r="83" spans="2:7" ht="15" customHeight="1" thickBot="1">
      <c r="B83" s="994"/>
      <c r="D83" s="987"/>
      <c r="E83" s="987"/>
      <c r="F83" s="987"/>
      <c r="G83" s="987"/>
    </row>
    <row r="84" spans="2:7" ht="16.5" thickBot="1">
      <c r="B84" s="994"/>
      <c r="D84" s="997" t="s">
        <v>306</v>
      </c>
      <c r="E84" s="997"/>
      <c r="F84" s="52">
        <f>F82+F81</f>
        <v>8927.57</v>
      </c>
      <c r="G84" s="53">
        <f>IF($E$7="","",F84/E7)</f>
        <v>3.0998506944444442</v>
      </c>
    </row>
    <row r="85" spans="2:7" ht="15.75" thickBot="1">
      <c r="D85" s="39"/>
      <c r="E85" s="54"/>
      <c r="F85" s="55"/>
      <c r="G85" s="51"/>
    </row>
    <row r="86" spans="2:7" ht="31.9" customHeight="1" thickBot="1">
      <c r="D86" s="989" t="s">
        <v>349</v>
      </c>
      <c r="E86" s="989"/>
      <c r="F86" s="56">
        <f>F84-F79</f>
        <v>1879.7600000000002</v>
      </c>
      <c r="G86" s="57">
        <f>IF($E$7="","",F86/E7)</f>
        <v>0.65269444444444447</v>
      </c>
    </row>
    <row r="87" spans="2:7" ht="16.5" thickBot="1">
      <c r="D87" s="58"/>
      <c r="E87" s="39"/>
      <c r="F87" s="41"/>
      <c r="G87" s="59"/>
    </row>
    <row r="88" spans="2:7" ht="15" customHeight="1" thickBot="1">
      <c r="B88" s="984" t="s">
        <v>307</v>
      </c>
      <c r="D88" s="990" t="s">
        <v>308</v>
      </c>
      <c r="E88" s="990"/>
      <c r="F88" s="405">
        <v>458</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3893</v>
      </c>
      <c r="G91" s="63">
        <f>IF($E$7="","",F91/$E$7)</f>
        <v>1.351736111111111</v>
      </c>
    </row>
    <row r="92" spans="2:7" ht="15.75" thickBot="1">
      <c r="D92" s="39"/>
      <c r="E92" s="39"/>
      <c r="F92" s="41"/>
      <c r="G92" s="51"/>
    </row>
    <row r="93" spans="2:7" ht="15" customHeight="1" thickBot="1">
      <c r="B93" s="984" t="s">
        <v>311</v>
      </c>
      <c r="D93" s="985" t="s">
        <v>312</v>
      </c>
      <c r="E93" s="985"/>
      <c r="F93" s="405">
        <f>K7*69000</f>
        <v>8970</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179.4</v>
      </c>
      <c r="G96" s="67">
        <f>IF($E$7="","",F96/$E$7)</f>
        <v>6.2291666666666669E-2</v>
      </c>
    </row>
    <row r="97" spans="2:7" ht="15.75" thickBot="1">
      <c r="D97" s="39"/>
      <c r="E97" s="39"/>
      <c r="F97" s="41"/>
      <c r="G97" s="42"/>
    </row>
    <row r="98" spans="2:7" ht="15" customHeight="1" thickBot="1">
      <c r="B98" s="984" t="s">
        <v>327</v>
      </c>
      <c r="D98" s="985" t="s">
        <v>315</v>
      </c>
      <c r="E98" s="985"/>
      <c r="F98" s="407">
        <v>0.15</v>
      </c>
      <c r="G98" s="64"/>
    </row>
    <row r="99" spans="2:7" ht="15.75" thickBot="1">
      <c r="B99" s="984"/>
      <c r="D99" s="986" t="s">
        <v>316</v>
      </c>
      <c r="E99" s="986"/>
      <c r="F99" s="408">
        <v>25</v>
      </c>
      <c r="G99" s="68"/>
    </row>
    <row r="100" spans="2:7" ht="13.5" thickBot="1">
      <c r="B100" s="984"/>
      <c r="D100" s="987"/>
      <c r="E100" s="987"/>
      <c r="F100" s="987"/>
      <c r="G100" s="987"/>
    </row>
    <row r="101" spans="2:7" ht="16.5" thickBot="1">
      <c r="B101" s="984"/>
      <c r="D101" s="988" t="s">
        <v>317</v>
      </c>
      <c r="E101" s="988"/>
      <c r="F101" s="66">
        <f>F98*F99</f>
        <v>3.75</v>
      </c>
      <c r="G101" s="67">
        <f>IF($E$7="","",F101/$E$7)</f>
        <v>1.3020833333333333E-3</v>
      </c>
    </row>
    <row r="102" spans="2:7" ht="15.75" thickBot="1">
      <c r="D102" s="39"/>
      <c r="E102" s="39"/>
      <c r="F102" s="41"/>
      <c r="G102" s="42"/>
    </row>
    <row r="103" spans="2:7" ht="16.5" thickBot="1">
      <c r="D103" s="983" t="s">
        <v>318</v>
      </c>
      <c r="E103" s="983"/>
      <c r="F103" s="62">
        <f>F101+F96+F91+F79</f>
        <v>11123.96</v>
      </c>
      <c r="G103" s="63">
        <f>IF($E$7="","",F103/E7)</f>
        <v>3.8624861111111106</v>
      </c>
    </row>
    <row r="104" spans="2:7" ht="13.5" thickBot="1"/>
    <row r="105" spans="2:7" ht="16.5" thickBot="1">
      <c r="D105" s="983" t="s">
        <v>472</v>
      </c>
      <c r="E105" s="983"/>
      <c r="F105" s="62">
        <f>F101+F96+F91+F79-F82</f>
        <v>9396.39</v>
      </c>
      <c r="G105" s="63">
        <f>IF($E$7="","",F105/E7)</f>
        <v>3.2626354166666665</v>
      </c>
    </row>
    <row r="106" spans="2:7" ht="13.5" thickBot="1"/>
    <row r="107" spans="2:7"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3.7920000000000002E-2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100</v>
      </c>
      <c r="G18" s="103">
        <f t="shared" si="0"/>
        <v>0.1</v>
      </c>
    </row>
    <row r="19" spans="2:7" ht="15.75" thickBot="1">
      <c r="B19" s="994"/>
      <c r="D19" s="918" t="s">
        <v>38</v>
      </c>
      <c r="E19" s="918"/>
      <c r="F19" s="403">
        <f>K7*'données éco.'!W44</f>
        <v>500</v>
      </c>
      <c r="G19" s="103">
        <f t="shared" si="0"/>
        <v>0.5</v>
      </c>
    </row>
    <row r="20" spans="2:7" ht="15.75" thickBot="1">
      <c r="B20" s="994"/>
      <c r="D20" s="918" t="s">
        <v>39</v>
      </c>
      <c r="E20" s="918"/>
      <c r="F20" s="403">
        <f>K7*'données éco.'!W45</f>
        <v>500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50</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50</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1060</v>
      </c>
      <c r="G26" s="103">
        <f t="shared" si="0"/>
        <v>1.06</v>
      </c>
    </row>
    <row r="27" spans="2:7" ht="15.75" thickBot="1">
      <c r="B27" s="994"/>
      <c r="D27" s="918" t="s">
        <v>46</v>
      </c>
      <c r="E27" s="918"/>
      <c r="F27" s="403">
        <f>K7*'données éco.'!W52</f>
        <v>3375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5672.92</v>
      </c>
      <c r="G41" s="46">
        <f>IF($E$7="","",F41/E7)</f>
        <v>5.6729200000000004</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612.5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1.5800000000000002E-2</v>
      </c>
    </row>
    <row r="48" spans="2:7" ht="15.75" hidden="1" thickBot="1">
      <c r="B48" s="994"/>
      <c r="D48" s="918" t="s">
        <v>52</v>
      </c>
      <c r="E48" s="918"/>
      <c r="F48" s="403">
        <f>0.0316*'données éco.'!W72</f>
        <v>79.000000000000014</v>
      </c>
      <c r="G48" s="103">
        <f t="shared" si="1"/>
        <v>7.9000000000000015E-2</v>
      </c>
    </row>
    <row r="49" spans="2:7" ht="15.75" hidden="1" thickBot="1">
      <c r="B49" s="994"/>
      <c r="D49" s="918" t="s">
        <v>53</v>
      </c>
      <c r="E49" s="918"/>
      <c r="F49" s="403">
        <f>0.0316*'données éco.'!W73</f>
        <v>15.8</v>
      </c>
      <c r="G49" s="103">
        <f t="shared" si="1"/>
        <v>1.5800000000000002E-2</v>
      </c>
    </row>
    <row r="50" spans="2:7" ht="15.75" hidden="1" thickBot="1">
      <c r="B50" s="994"/>
      <c r="D50" s="918" t="s">
        <v>54</v>
      </c>
      <c r="E50" s="918"/>
      <c r="F50" s="403">
        <f>0.0316*'données éco.'!W74+0.0316*'données éco.'!W75</f>
        <v>15.8</v>
      </c>
      <c r="G50" s="103">
        <f t="shared" si="1"/>
        <v>1.5800000000000002E-2</v>
      </c>
    </row>
    <row r="51" spans="2:7" ht="15.75" hidden="1" thickBot="1">
      <c r="B51" s="994"/>
      <c r="D51" s="918" t="s">
        <v>56</v>
      </c>
      <c r="E51" s="918"/>
      <c r="F51" s="403">
        <f>0.0316*'données éco.'!W76</f>
        <v>44.24</v>
      </c>
      <c r="G51" s="103">
        <f t="shared" si="1"/>
        <v>4.4240000000000002E-2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9.4800000000000006E-3</v>
      </c>
    </row>
    <row r="55" spans="2:7" ht="15.75" hidden="1" thickBot="1">
      <c r="B55" s="994"/>
      <c r="D55" s="918" t="s">
        <v>60</v>
      </c>
      <c r="E55" s="918"/>
      <c r="F55" s="403">
        <f>0.0316*'données éco.'!W80</f>
        <v>15.8</v>
      </c>
      <c r="G55" s="103">
        <f t="shared" si="1"/>
        <v>1.5800000000000002E-2</v>
      </c>
    </row>
    <row r="56" spans="2:7" ht="15.75" thickBot="1">
      <c r="B56" s="994"/>
      <c r="D56" s="918" t="s">
        <v>61</v>
      </c>
      <c r="E56" s="918"/>
      <c r="F56" s="403">
        <f>K7*'données éco.'!W81</f>
        <v>750</v>
      </c>
      <c r="G56" s="103">
        <f t="shared" si="1"/>
        <v>0.75</v>
      </c>
    </row>
    <row r="57" spans="2:7" ht="15.75" hidden="1" thickBot="1">
      <c r="B57" s="994"/>
      <c r="D57" s="918" t="s">
        <v>62</v>
      </c>
      <c r="E57" s="918"/>
      <c r="F57" s="403">
        <f>0.0316*'données éco.'!W82</f>
        <v>7.9</v>
      </c>
      <c r="G57" s="103">
        <f t="shared" si="1"/>
        <v>7.9000000000000008E-3</v>
      </c>
    </row>
    <row r="58" spans="2:7" ht="15.75" hidden="1" thickBot="1">
      <c r="B58" s="994"/>
      <c r="D58" s="918" t="s">
        <v>63</v>
      </c>
      <c r="E58" s="918"/>
      <c r="F58" s="403">
        <f>0.0316*'données éco.'!W83</f>
        <v>7.9</v>
      </c>
      <c r="G58" s="103">
        <f t="shared" si="1"/>
        <v>7.9000000000000008E-3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1850</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4.7400000000000005E-2</v>
      </c>
    </row>
    <row r="64" spans="2:7" ht="15.75" thickBot="1">
      <c r="B64" s="994"/>
      <c r="D64" s="918" t="s">
        <v>69</v>
      </c>
      <c r="E64" s="918"/>
      <c r="F64" s="403">
        <f>K7*'données éco.'!W89</f>
        <v>812.5</v>
      </c>
      <c r="G64" s="103">
        <f t="shared" si="1"/>
        <v>0.8125</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4284.1200000000008</v>
      </c>
      <c r="G71" s="46">
        <f>IF($E$7="","",F71/E7)</f>
        <v>4.2841200000000006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13289*K7</f>
        <v>3322.25</v>
      </c>
      <c r="G74" s="103">
        <f t="shared" ref="G74:G75" si="2">IF($E$7="","",F74/$E$7)</f>
        <v>3.3222499999999999</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7606.3700000000008</v>
      </c>
      <c r="G77" s="46">
        <f>IF($E$7="","",F77/E7)</f>
        <v>7.606370000000001</v>
      </c>
    </row>
    <row r="78" spans="2:7" ht="13.5" thickBot="1">
      <c r="B78" s="994"/>
      <c r="D78" s="992"/>
      <c r="E78" s="992"/>
      <c r="F78" s="992"/>
      <c r="G78" s="992"/>
    </row>
    <row r="79" spans="2:7" ht="16.5" thickBot="1">
      <c r="B79" s="994"/>
      <c r="D79" s="993" t="s">
        <v>302</v>
      </c>
      <c r="E79" s="993"/>
      <c r="F79" s="47">
        <f>F41+F77</f>
        <v>13279.29</v>
      </c>
      <c r="G79" s="48">
        <f>IF($E$7="","",F79/E7)</f>
        <v>13.279290000000001</v>
      </c>
    </row>
    <row r="80" spans="2:7" ht="16.5" thickBot="1">
      <c r="D80" s="49"/>
      <c r="E80" s="39"/>
      <c r="F80" s="50"/>
      <c r="G80" s="51"/>
    </row>
    <row r="81" spans="2:12" ht="15" customHeight="1" thickBot="1">
      <c r="B81" s="994" t="s">
        <v>303</v>
      </c>
      <c r="D81" s="995" t="s">
        <v>304</v>
      </c>
      <c r="E81" s="995"/>
      <c r="F81" s="105">
        <f>E7*E8</f>
        <v>20500</v>
      </c>
      <c r="G81" s="104">
        <f>IF($E$7="","",$E$8)</f>
        <v>20.5</v>
      </c>
    </row>
    <row r="82" spans="2:12" ht="21" customHeight="1" thickBot="1">
      <c r="B82" s="994"/>
      <c r="D82" s="996" t="s">
        <v>305</v>
      </c>
      <c r="E82" s="996"/>
      <c r="F82" s="403">
        <f>K7*3420</f>
        <v>855</v>
      </c>
      <c r="G82" s="103">
        <f>IF($E$7="","",F82/$E$7)</f>
        <v>0.85499999999999998</v>
      </c>
    </row>
    <row r="83" spans="2:12" ht="15" customHeight="1" thickBot="1">
      <c r="B83" s="994"/>
      <c r="D83" s="987"/>
      <c r="E83" s="987"/>
      <c r="F83" s="987"/>
      <c r="G83" s="987"/>
    </row>
    <row r="84" spans="2:12" ht="16.5" thickBot="1">
      <c r="B84" s="994"/>
      <c r="D84" s="997" t="s">
        <v>306</v>
      </c>
      <c r="E84" s="997"/>
      <c r="F84" s="52">
        <f>F82+F81</f>
        <v>21355</v>
      </c>
      <c r="G84" s="53">
        <f>IF($E$7="","",F84/E7)</f>
        <v>21.355</v>
      </c>
    </row>
    <row r="85" spans="2:12" ht="15.75" thickBot="1">
      <c r="D85" s="39"/>
      <c r="E85" s="54"/>
      <c r="F85" s="55"/>
      <c r="G85" s="51"/>
    </row>
    <row r="86" spans="2:12" ht="31.9" customHeight="1" thickBot="1">
      <c r="D86" s="989" t="s">
        <v>349</v>
      </c>
      <c r="E86" s="989"/>
      <c r="F86" s="56">
        <f>F84-F79</f>
        <v>8075.7099999999991</v>
      </c>
      <c r="G86" s="57">
        <f>IF($E$7="","",F86/E7)</f>
        <v>8.0757099999999991</v>
      </c>
      <c r="L86" s="823">
        <f>$F$74/$F$103</f>
        <v>0.15358893503196139</v>
      </c>
    </row>
    <row r="87" spans="2:12" ht="16.5" thickBot="1">
      <c r="D87" s="58"/>
      <c r="E87" s="39"/>
      <c r="F87" s="41"/>
      <c r="G87" s="59"/>
    </row>
    <row r="88" spans="2:12" ht="15" customHeight="1" thickBot="1">
      <c r="B88" s="984" t="s">
        <v>307</v>
      </c>
      <c r="D88" s="990" t="s">
        <v>308</v>
      </c>
      <c r="E88" s="990"/>
      <c r="F88" s="405">
        <v>939</v>
      </c>
      <c r="G88" s="60"/>
    </row>
    <row r="89" spans="2:12" ht="15.75" thickBot="1">
      <c r="B89" s="984"/>
      <c r="D89" s="991" t="s">
        <v>309</v>
      </c>
      <c r="E89" s="991"/>
      <c r="F89" s="404">
        <v>8.5</v>
      </c>
      <c r="G89" s="61"/>
    </row>
    <row r="90" spans="2:12" ht="15.6" customHeight="1" thickBot="1">
      <c r="B90" s="984"/>
      <c r="D90" s="992"/>
      <c r="E90" s="992"/>
      <c r="F90" s="992"/>
      <c r="G90" s="992"/>
    </row>
    <row r="91" spans="2:12" ht="16.5" thickBot="1">
      <c r="B91" s="984"/>
      <c r="D91" s="983" t="s">
        <v>310</v>
      </c>
      <c r="E91" s="983"/>
      <c r="F91" s="62">
        <f>F88*F89</f>
        <v>7981.5</v>
      </c>
      <c r="G91" s="63">
        <f>IF($E$7="","",F91/$E$7)</f>
        <v>7.9814999999999996</v>
      </c>
    </row>
    <row r="92" spans="2:12" ht="15.75" thickBot="1">
      <c r="D92" s="39"/>
      <c r="E92" s="39"/>
      <c r="F92" s="41"/>
      <c r="G92" s="51"/>
    </row>
    <row r="93" spans="2:12" ht="15" customHeight="1" thickBot="1">
      <c r="B93" s="984" t="s">
        <v>311</v>
      </c>
      <c r="D93" s="985" t="s">
        <v>312</v>
      </c>
      <c r="E93" s="985"/>
      <c r="F93" s="405">
        <f>K7*69000</f>
        <v>17250</v>
      </c>
      <c r="G93" s="64"/>
    </row>
    <row r="94" spans="2:12" ht="15.75" thickBot="1">
      <c r="B94" s="984"/>
      <c r="D94" s="986" t="s">
        <v>313</v>
      </c>
      <c r="E94" s="986"/>
      <c r="F94" s="406">
        <v>0.02</v>
      </c>
      <c r="G94" s="65"/>
    </row>
    <row r="95" spans="2:12" ht="13.5" thickBot="1">
      <c r="B95" s="984"/>
      <c r="D95" s="987"/>
      <c r="E95" s="987"/>
      <c r="F95" s="987"/>
      <c r="G95" s="987"/>
    </row>
    <row r="96" spans="2:12" ht="16.5" thickBot="1">
      <c r="B96" s="984"/>
      <c r="D96" s="988" t="s">
        <v>314</v>
      </c>
      <c r="E96" s="988"/>
      <c r="F96" s="66">
        <f>F93*F94</f>
        <v>345</v>
      </c>
      <c r="G96" s="67">
        <f>IF($E$7="","",F96/$E$7)</f>
        <v>0.34499999999999997</v>
      </c>
    </row>
    <row r="97" spans="2:10" ht="15.75" thickBot="1">
      <c r="D97" s="39"/>
      <c r="E97" s="39"/>
      <c r="F97" s="41"/>
      <c r="G97" s="42"/>
    </row>
    <row r="98" spans="2:10" ht="15" customHeight="1" thickBot="1">
      <c r="B98" s="984" t="s">
        <v>327</v>
      </c>
      <c r="D98" s="985" t="s">
        <v>315</v>
      </c>
      <c r="E98" s="985"/>
      <c r="F98" s="407">
        <f>1*K7</f>
        <v>0.25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25</v>
      </c>
      <c r="G101" s="67">
        <f>IF($E$7="","",F101/$E$7)</f>
        <v>2.5000000000000001E-2</v>
      </c>
    </row>
    <row r="102" spans="2:10" ht="15.75" thickBot="1">
      <c r="D102" s="39"/>
      <c r="E102" s="39"/>
      <c r="F102" s="41"/>
      <c r="G102" s="42"/>
    </row>
    <row r="103" spans="2:10" ht="16.5" thickBot="1">
      <c r="D103" s="983" t="s">
        <v>318</v>
      </c>
      <c r="E103" s="983"/>
      <c r="F103" s="62">
        <f>F101+F96+F91+F79</f>
        <v>21630.79</v>
      </c>
      <c r="G103" s="63">
        <f>IF($E$7="","",F103/E7)</f>
        <v>21.630790000000001</v>
      </c>
    </row>
    <row r="104" spans="2:10" ht="13.5" thickBot="1"/>
    <row r="105" spans="2:10" ht="16.5" thickBot="1">
      <c r="D105" s="983" t="s">
        <v>472</v>
      </c>
      <c r="E105" s="983"/>
      <c r="F105" s="62">
        <f>F101+F96+F91+F79-F82</f>
        <v>20775.79</v>
      </c>
      <c r="G105" s="63">
        <f>IF($E$7="","",F105/E7)</f>
        <v>20.775790000000001</v>
      </c>
      <c r="J105" s="823">
        <f>1-G105/G107</f>
        <v>-1.3453170731707376E-2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1" ht="15.75" thickBot="1">
      <c r="B65" s="994"/>
      <c r="D65" s="918" t="s">
        <v>70</v>
      </c>
      <c r="E65" s="918"/>
      <c r="F65" s="403">
        <f>K7*'données éco.'!W90</f>
        <v>0</v>
      </c>
      <c r="G65" s="103">
        <f t="shared" si="1"/>
        <v>0</v>
      </c>
    </row>
    <row r="66" spans="2:11" ht="15.75" hidden="1" thickBot="1">
      <c r="B66" s="994"/>
      <c r="D66" s="918"/>
      <c r="E66" s="918"/>
      <c r="F66" s="403"/>
      <c r="G66" s="103">
        <f t="shared" si="1"/>
        <v>0</v>
      </c>
    </row>
    <row r="67" spans="2:11" ht="15.75" hidden="1" thickBot="1">
      <c r="B67" s="994"/>
      <c r="D67" s="940"/>
      <c r="E67" s="942"/>
      <c r="F67" s="403"/>
      <c r="G67" s="103">
        <f t="shared" si="1"/>
        <v>0</v>
      </c>
    </row>
    <row r="68" spans="2:11" ht="15.75" hidden="1" thickBot="1">
      <c r="B68" s="994"/>
      <c r="D68" s="940"/>
      <c r="E68" s="942"/>
      <c r="F68" s="403"/>
      <c r="G68" s="103">
        <f t="shared" si="1"/>
        <v>0</v>
      </c>
    </row>
    <row r="69" spans="2:11" ht="15.75" hidden="1" thickBot="1">
      <c r="B69" s="994"/>
      <c r="D69" s="940"/>
      <c r="E69" s="942"/>
      <c r="F69" s="403"/>
      <c r="G69" s="103">
        <f t="shared" si="1"/>
        <v>0</v>
      </c>
    </row>
    <row r="70" spans="2:11" ht="15.75" hidden="1" thickBot="1">
      <c r="B70" s="994"/>
      <c r="D70" s="901"/>
      <c r="E70" s="901"/>
      <c r="F70" s="403"/>
      <c r="G70" s="103">
        <f t="shared" si="1"/>
        <v>0</v>
      </c>
    </row>
    <row r="71" spans="2:11" ht="15.6" customHeight="1" thickBot="1">
      <c r="B71" s="994"/>
      <c r="D71" s="1000" t="s">
        <v>471</v>
      </c>
      <c r="E71" s="1000"/>
      <c r="F71" s="45">
        <f>SUM(F44:F70)</f>
        <v>6296.62</v>
      </c>
      <c r="G71" s="46">
        <f>IF($E$7="","",F71/E7)</f>
        <v>4.1977466666666663</v>
      </c>
    </row>
    <row r="72" spans="2:11" ht="15.75" thickBot="1">
      <c r="B72" s="994"/>
      <c r="D72" s="1001"/>
      <c r="E72" s="1001"/>
      <c r="F72" s="1001"/>
      <c r="G72" s="1001"/>
    </row>
    <row r="73" spans="2:11" ht="15.75" thickBot="1">
      <c r="B73" s="994"/>
      <c r="D73" s="1002" t="s">
        <v>300</v>
      </c>
      <c r="E73" s="1002"/>
      <c r="F73" s="403">
        <v>0</v>
      </c>
      <c r="G73" s="103">
        <f>IF($E$7="","",F73/$E$7)</f>
        <v>0</v>
      </c>
    </row>
    <row r="74" spans="2:11" ht="16.5" thickBot="1">
      <c r="B74" s="994"/>
      <c r="D74" s="1002" t="s">
        <v>469</v>
      </c>
      <c r="E74" s="1002"/>
      <c r="F74" s="403">
        <f>13289*K7</f>
        <v>4983.375</v>
      </c>
      <c r="G74" s="103">
        <f t="shared" ref="G74:G75" si="2">IF($E$7="","",F74/$E$7)</f>
        <v>3.3222499999999999</v>
      </c>
    </row>
    <row r="75" spans="2:11" ht="15.75" thickBot="1">
      <c r="B75" s="994"/>
      <c r="D75" s="1002" t="s">
        <v>301</v>
      </c>
      <c r="E75" s="1002"/>
      <c r="F75" s="403">
        <v>0</v>
      </c>
      <c r="G75" s="103">
        <f t="shared" si="2"/>
        <v>0</v>
      </c>
    </row>
    <row r="76" spans="2:11" ht="15.75" thickBot="1">
      <c r="B76" s="994"/>
      <c r="D76" s="1003"/>
      <c r="E76" s="1003"/>
      <c r="F76" s="1003"/>
      <c r="G76" s="1003"/>
    </row>
    <row r="77" spans="2:11" ht="15.6" customHeight="1" thickBot="1">
      <c r="B77" s="994"/>
      <c r="D77" s="998" t="s">
        <v>470</v>
      </c>
      <c r="E77" s="999"/>
      <c r="F77" s="45">
        <f>SUM(F71:F75)</f>
        <v>11279.994999999999</v>
      </c>
      <c r="G77" s="46">
        <f>IF($E$7="","",F77/E7)</f>
        <v>7.5199966666666658</v>
      </c>
      <c r="K77" s="823">
        <f>$F$74/$F$103</f>
        <v>0.14985829488046745</v>
      </c>
    </row>
    <row r="78" spans="2:11" ht="13.5" thickBot="1">
      <c r="B78" s="994"/>
      <c r="D78" s="992"/>
      <c r="E78" s="992"/>
      <c r="F78" s="992"/>
      <c r="G78" s="992"/>
    </row>
    <row r="79" spans="2:11" ht="16.5" thickBot="1">
      <c r="B79" s="994"/>
      <c r="D79" s="993" t="s">
        <v>302</v>
      </c>
      <c r="E79" s="993"/>
      <c r="F79" s="47">
        <f>F41+F77</f>
        <v>19770.415000000001</v>
      </c>
      <c r="G79" s="48">
        <f>IF($E$7="","",F79/E7)</f>
        <v>13.180276666666668</v>
      </c>
    </row>
    <row r="80" spans="2:11" ht="16.5" thickBot="1">
      <c r="D80" s="49"/>
      <c r="E80" s="39"/>
      <c r="F80" s="50"/>
      <c r="G80" s="51"/>
    </row>
    <row r="81" spans="2:7" ht="15" customHeight="1" thickBot="1">
      <c r="B81" s="994" t="s">
        <v>303</v>
      </c>
      <c r="D81" s="995" t="s">
        <v>304</v>
      </c>
      <c r="E81" s="995"/>
      <c r="F81" s="105">
        <f>E7*E8</f>
        <v>37500</v>
      </c>
      <c r="G81" s="104">
        <f>IF($E$7="","",$E$8)</f>
        <v>25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38782.5</v>
      </c>
      <c r="G84" s="53">
        <f>IF($E$7="","",F84/E7)</f>
        <v>25.855</v>
      </c>
    </row>
    <row r="85" spans="2:7" ht="15.75" thickBot="1">
      <c r="D85" s="39"/>
      <c r="E85" s="54"/>
      <c r="F85" s="55"/>
      <c r="G85" s="51"/>
    </row>
    <row r="86" spans="2:7" ht="31.9" customHeight="1" thickBot="1">
      <c r="D86" s="989" t="s">
        <v>349</v>
      </c>
      <c r="E86" s="989"/>
      <c r="F86" s="56">
        <f>F84-F79</f>
        <v>19012.084999999999</v>
      </c>
      <c r="G86" s="57">
        <f>IF($E$7="","",F86/E7)</f>
        <v>12.674723333333333</v>
      </c>
    </row>
    <row r="87" spans="2:7" ht="16.5" thickBot="1">
      <c r="D87" s="58"/>
      <c r="E87" s="39"/>
      <c r="F87" s="41"/>
      <c r="G87" s="59"/>
    </row>
    <row r="88" spans="2:7" ht="15" customHeight="1" thickBot="1">
      <c r="B88" s="984" t="s">
        <v>307</v>
      </c>
      <c r="D88" s="990" t="s">
        <v>308</v>
      </c>
      <c r="E88" s="990"/>
      <c r="F88" s="405">
        <v>1521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12928.5</v>
      </c>
      <c r="G91" s="63">
        <f>IF($E$7="","",F91/$E$7)</f>
        <v>8.6189999999999998</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33253.915000000001</v>
      </c>
      <c r="G103" s="63">
        <f>IF($E$7="","",F103/E7)</f>
        <v>22.169276666666669</v>
      </c>
    </row>
    <row r="104" spans="2:10" ht="13.5" thickBot="1"/>
    <row r="105" spans="2:10" ht="16.5" thickBot="1">
      <c r="D105" s="983" t="s">
        <v>472</v>
      </c>
      <c r="E105" s="983"/>
      <c r="F105" s="62">
        <f>F101+F96+F91+F79-F82</f>
        <v>31971.415000000001</v>
      </c>
      <c r="G105" s="63">
        <f>IF($E$7="","",F105/E7)</f>
        <v>21.314276666666668</v>
      </c>
      <c r="J105" s="823">
        <f>1-G105/G107</f>
        <v>0.14742893333333329</v>
      </c>
    </row>
    <row r="106" spans="2:10" ht="13.5" thickBot="1"/>
    <row r="107" spans="2:10"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578</v>
      </c>
      <c r="F6" s="1012"/>
      <c r="G6" s="1012"/>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0" ht="15.75" thickBot="1">
      <c r="B65" s="994"/>
      <c r="D65" s="918" t="s">
        <v>70</v>
      </c>
      <c r="E65" s="918"/>
      <c r="F65" s="403">
        <f>K7*'données éco.'!W90</f>
        <v>0</v>
      </c>
      <c r="G65" s="103">
        <f t="shared" si="1"/>
        <v>0</v>
      </c>
    </row>
    <row r="66" spans="2:10" ht="15.75" hidden="1" thickBot="1">
      <c r="B66" s="994"/>
      <c r="D66" s="918"/>
      <c r="E66" s="918"/>
      <c r="F66" s="403"/>
      <c r="G66" s="103">
        <f t="shared" si="1"/>
        <v>0</v>
      </c>
    </row>
    <row r="67" spans="2:10" ht="15.75" hidden="1" thickBot="1">
      <c r="B67" s="994"/>
      <c r="D67" s="940"/>
      <c r="E67" s="942"/>
      <c r="F67" s="403"/>
      <c r="G67" s="103">
        <f t="shared" si="1"/>
        <v>0</v>
      </c>
    </row>
    <row r="68" spans="2:10" ht="15.75" hidden="1" thickBot="1">
      <c r="B68" s="994"/>
      <c r="D68" s="940"/>
      <c r="E68" s="942"/>
      <c r="F68" s="403"/>
      <c r="G68" s="103">
        <f t="shared" si="1"/>
        <v>0</v>
      </c>
    </row>
    <row r="69" spans="2:10" ht="15.75" hidden="1" thickBot="1">
      <c r="B69" s="994"/>
      <c r="D69" s="940"/>
      <c r="E69" s="942"/>
      <c r="F69" s="403"/>
      <c r="G69" s="103">
        <f t="shared" si="1"/>
        <v>0</v>
      </c>
    </row>
    <row r="70" spans="2:10" ht="15.75" hidden="1" thickBot="1">
      <c r="B70" s="994"/>
      <c r="D70" s="901"/>
      <c r="E70" s="901"/>
      <c r="F70" s="403"/>
      <c r="G70" s="103">
        <f t="shared" si="1"/>
        <v>0</v>
      </c>
    </row>
    <row r="71" spans="2:10" ht="15.6" customHeight="1" thickBot="1">
      <c r="B71" s="994"/>
      <c r="D71" s="1000" t="s">
        <v>471</v>
      </c>
      <c r="E71" s="1000"/>
      <c r="F71" s="45">
        <f>SUM(F44:F70)</f>
        <v>6296.62</v>
      </c>
      <c r="G71" s="46">
        <f>IF($E$7="","",F71/E7)</f>
        <v>4.1977466666666663</v>
      </c>
    </row>
    <row r="72" spans="2:10" ht="15.75" thickBot="1">
      <c r="B72" s="994"/>
      <c r="D72" s="1001"/>
      <c r="E72" s="1001"/>
      <c r="F72" s="1001"/>
      <c r="G72" s="1001"/>
    </row>
    <row r="73" spans="2:10" ht="15.75" thickBot="1">
      <c r="B73" s="994"/>
      <c r="D73" s="1002" t="s">
        <v>300</v>
      </c>
      <c r="E73" s="1002"/>
      <c r="F73" s="403">
        <v>0</v>
      </c>
      <c r="G73" s="103">
        <f>IF($E$7="","",F73/$E$7)</f>
        <v>0</v>
      </c>
    </row>
    <row r="74" spans="2:10" ht="16.5" thickBot="1">
      <c r="B74" s="994"/>
      <c r="D74" s="1002" t="s">
        <v>469</v>
      </c>
      <c r="E74" s="1002"/>
      <c r="F74" s="403">
        <f>13289*K7</f>
        <v>4983.375</v>
      </c>
      <c r="G74" s="103">
        <f t="shared" ref="G74:G75" si="2">IF($E$7="","",F74/$E$7)</f>
        <v>3.3222499999999999</v>
      </c>
    </row>
    <row r="75" spans="2:10" ht="15.75" thickBot="1">
      <c r="B75" s="994"/>
      <c r="D75" s="1002" t="s">
        <v>301</v>
      </c>
      <c r="E75" s="1002"/>
      <c r="F75" s="403">
        <v>0</v>
      </c>
      <c r="G75" s="103">
        <f t="shared" si="2"/>
        <v>0</v>
      </c>
    </row>
    <row r="76" spans="2:10" ht="15.75" thickBot="1">
      <c r="B76" s="994"/>
      <c r="D76" s="1003"/>
      <c r="E76" s="1003"/>
      <c r="F76" s="1003"/>
      <c r="G76" s="1003"/>
    </row>
    <row r="77" spans="2:10" ht="15.6" customHeight="1" thickBot="1">
      <c r="B77" s="994"/>
      <c r="D77" s="998" t="s">
        <v>470</v>
      </c>
      <c r="E77" s="999"/>
      <c r="F77" s="45">
        <f>SUM(F71:F75)</f>
        <v>11279.994999999999</v>
      </c>
      <c r="G77" s="46">
        <f>IF($E$7="","",F77/E7)</f>
        <v>7.5199966666666658</v>
      </c>
    </row>
    <row r="78" spans="2:10" ht="13.5" thickBot="1">
      <c r="B78" s="994"/>
      <c r="D78" s="992"/>
      <c r="E78" s="992"/>
      <c r="F78" s="992"/>
      <c r="G78" s="992"/>
      <c r="J78" s="823">
        <f>$F$74/$F$103</f>
        <v>0.14432469134926482</v>
      </c>
    </row>
    <row r="79" spans="2:10" ht="16.5" thickBot="1">
      <c r="B79" s="994"/>
      <c r="D79" s="993" t="s">
        <v>302</v>
      </c>
      <c r="E79" s="993"/>
      <c r="F79" s="47">
        <f>F41+F77</f>
        <v>19770.415000000001</v>
      </c>
      <c r="G79" s="48">
        <f>IF($E$7="","",F79/E7)</f>
        <v>13.180276666666668</v>
      </c>
    </row>
    <row r="80" spans="2:10" ht="16.5" thickBot="1">
      <c r="D80" s="49"/>
      <c r="E80" s="39"/>
      <c r="F80" s="50"/>
      <c r="G80" s="51"/>
    </row>
    <row r="81" spans="2:7" ht="15" customHeight="1" thickBot="1">
      <c r="B81" s="994" t="s">
        <v>303</v>
      </c>
      <c r="D81" s="995" t="s">
        <v>304</v>
      </c>
      <c r="E81" s="995"/>
      <c r="F81" s="105">
        <f>E7*E8</f>
        <v>30750</v>
      </c>
      <c r="G81" s="104">
        <f>IF($E$7="","",$E$8)</f>
        <v>20.5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32032.5</v>
      </c>
      <c r="G84" s="53">
        <f>IF($E$7="","",F84/E7)</f>
        <v>21.355</v>
      </c>
    </row>
    <row r="85" spans="2:7" ht="15.75" thickBot="1">
      <c r="D85" s="39"/>
      <c r="E85" s="54"/>
      <c r="F85" s="55"/>
      <c r="G85" s="51"/>
    </row>
    <row r="86" spans="2:7" ht="31.9" customHeight="1" thickBot="1">
      <c r="D86" s="989" t="s">
        <v>349</v>
      </c>
      <c r="E86" s="989"/>
      <c r="F86" s="56">
        <f>F84-F79</f>
        <v>12262.084999999999</v>
      </c>
      <c r="G86" s="57">
        <f>IF($E$7="","",F86/E7)</f>
        <v>8.1747233333333327</v>
      </c>
    </row>
    <row r="87" spans="2:7" ht="16.5" thickBot="1">
      <c r="D87" s="58"/>
      <c r="E87" s="39"/>
      <c r="F87" s="41"/>
      <c r="G87" s="59"/>
    </row>
    <row r="88" spans="2:7" ht="15" customHeight="1" thickBot="1">
      <c r="B88" s="984" t="s">
        <v>307</v>
      </c>
      <c r="D88" s="990" t="s">
        <v>308</v>
      </c>
      <c r="E88" s="990"/>
      <c r="F88" s="405">
        <v>1671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14203.5</v>
      </c>
      <c r="G91" s="63">
        <f>IF($E$7="","",F91/$E$7)</f>
        <v>9.4689999999999994</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34528.915000000001</v>
      </c>
      <c r="G103" s="63">
        <f>IF($E$7="","",F103/E7)</f>
        <v>23.019276666666666</v>
      </c>
    </row>
    <row r="104" spans="2:10" ht="13.5" thickBot="1"/>
    <row r="105" spans="2:10" ht="16.5" thickBot="1">
      <c r="D105" s="983" t="s">
        <v>472</v>
      </c>
      <c r="E105" s="983"/>
      <c r="F105" s="62">
        <f>F101+F96+F91+F79-F82</f>
        <v>33246.415000000001</v>
      </c>
      <c r="G105" s="63">
        <f>IF($E$7="","",F105/E7)</f>
        <v>22.164276666666666</v>
      </c>
      <c r="J105" s="823">
        <f>1-G105/G107</f>
        <v>-8.1184227642276285E-2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16199-EC89-4E25-B551-5E03E95FC3B7}">
  <dimension ref="A1:AMH107"/>
  <sheetViews>
    <sheetView showGridLines="0" tabSelected="1" zoomScale="70" zoomScaleNormal="70" workbookViewId="0">
      <selection activeCell="F89" sqref="F89"/>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582</v>
      </c>
      <c r="F6" s="1012"/>
      <c r="G6" s="1012"/>
      <c r="K6" s="386" t="s">
        <v>570</v>
      </c>
    </row>
    <row r="7" spans="2:1022" ht="14.25">
      <c r="D7" s="35" t="s">
        <v>292</v>
      </c>
      <c r="E7" s="401">
        <v>1100</v>
      </c>
      <c r="F7" s="333" t="s">
        <v>566</v>
      </c>
      <c r="G7" s="36"/>
      <c r="K7" s="386">
        <v>0.05</v>
      </c>
    </row>
    <row r="8" spans="2:1022" ht="15" thickBot="1">
      <c r="D8" s="37" t="s">
        <v>294</v>
      </c>
      <c r="E8" s="402">
        <v>14</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3.4472727272727273E-2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éco.'!AB43</f>
        <v>20</v>
      </c>
      <c r="G18" s="103">
        <f t="shared" si="0"/>
        <v>1.8181818181818181E-2</v>
      </c>
    </row>
    <row r="19" spans="2:7" ht="15.75" thickBot="1">
      <c r="B19" s="994"/>
      <c r="D19" s="918" t="s">
        <v>38</v>
      </c>
      <c r="E19" s="918"/>
      <c r="F19" s="403">
        <f>$K$7*'données éco.'!AB44</f>
        <v>100</v>
      </c>
      <c r="G19" s="103">
        <f t="shared" si="0"/>
        <v>9.0909090909090912E-2</v>
      </c>
    </row>
    <row r="20" spans="2:7" ht="15.75" thickBot="1">
      <c r="B20" s="994"/>
      <c r="D20" s="918" t="s">
        <v>39</v>
      </c>
      <c r="E20" s="918"/>
      <c r="F20" s="403">
        <f>$K$7*'données éco.'!AB45</f>
        <v>100</v>
      </c>
      <c r="G20" s="103">
        <f t="shared" si="0"/>
        <v>9.0909090909090912E-2</v>
      </c>
    </row>
    <row r="21" spans="2:7" ht="15.75" thickBot="1">
      <c r="B21" s="994"/>
      <c r="D21" s="918" t="s">
        <v>40</v>
      </c>
      <c r="E21" s="918"/>
      <c r="F21" s="403">
        <f>$K$7*'données éco.'!AB46</f>
        <v>0</v>
      </c>
      <c r="G21" s="103">
        <f t="shared" si="0"/>
        <v>0</v>
      </c>
    </row>
    <row r="22" spans="2:7" ht="15.75" thickBot="1">
      <c r="B22" s="994"/>
      <c r="D22" s="918" t="s">
        <v>41</v>
      </c>
      <c r="E22" s="918"/>
      <c r="F22" s="403">
        <f>$K$7*'données éco.'!AB47</f>
        <v>10</v>
      </c>
      <c r="G22" s="103">
        <f t="shared" si="0"/>
        <v>9.0909090909090905E-3</v>
      </c>
    </row>
    <row r="23" spans="2:7" ht="15.75" thickBot="1">
      <c r="B23" s="994"/>
      <c r="D23" s="918" t="s">
        <v>42</v>
      </c>
      <c r="E23" s="918"/>
      <c r="F23" s="403">
        <f>$K$7*'données éco.'!AB48</f>
        <v>0</v>
      </c>
      <c r="G23" s="103">
        <f t="shared" si="0"/>
        <v>0</v>
      </c>
    </row>
    <row r="24" spans="2:7" ht="15.75" thickBot="1">
      <c r="B24" s="994"/>
      <c r="D24" s="918" t="s">
        <v>43</v>
      </c>
      <c r="E24" s="918"/>
      <c r="F24" s="403">
        <f>$K$7*'données éco.'!AB49</f>
        <v>10</v>
      </c>
      <c r="G24" s="103">
        <f t="shared" si="0"/>
        <v>9.0909090909090905E-3</v>
      </c>
    </row>
    <row r="25" spans="2:7" ht="15.75" thickBot="1">
      <c r="B25" s="994"/>
      <c r="D25" s="918" t="s">
        <v>44</v>
      </c>
      <c r="E25" s="918"/>
      <c r="F25" s="403">
        <f>$K$7*'données éco.'!AB50</f>
        <v>0</v>
      </c>
      <c r="G25" s="103">
        <f t="shared" si="0"/>
        <v>0</v>
      </c>
    </row>
    <row r="26" spans="2:7" ht="15.75" thickBot="1">
      <c r="B26" s="994"/>
      <c r="D26" s="918" t="s">
        <v>45</v>
      </c>
      <c r="E26" s="918"/>
      <c r="F26" s="403">
        <f>$K$7*'données éco.'!AB51</f>
        <v>127.5</v>
      </c>
      <c r="G26" s="103">
        <f t="shared" si="0"/>
        <v>0.11590909090909091</v>
      </c>
    </row>
    <row r="27" spans="2:7" ht="15.75" thickBot="1">
      <c r="B27" s="994"/>
      <c r="D27" s="918" t="s">
        <v>46</v>
      </c>
      <c r="E27" s="918"/>
      <c r="F27" s="403">
        <f>$K$7*'données éco.'!AB52</f>
        <v>350</v>
      </c>
      <c r="G27" s="103">
        <f t="shared" si="0"/>
        <v>0.31818181818181818</v>
      </c>
    </row>
    <row r="28" spans="2:7" ht="15.75" thickBot="1">
      <c r="B28" s="994"/>
      <c r="D28" s="918" t="s">
        <v>583</v>
      </c>
      <c r="E28" s="918"/>
      <c r="F28" s="403">
        <v>2000</v>
      </c>
      <c r="G28" s="103">
        <f t="shared" si="0"/>
        <v>1.8181818181818181</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2755.42</v>
      </c>
      <c r="G41" s="46">
        <f>IF($E$7="","",F41/E7)</f>
        <v>2.5049272727272727</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éco.'!AB68</f>
        <v>0</v>
      </c>
      <c r="G44" s="103">
        <f>IF($E$7="","",F44/$E$7)</f>
        <v>0</v>
      </c>
    </row>
    <row r="45" spans="2:7" ht="15.75" thickBot="1">
      <c r="B45" s="994"/>
      <c r="D45" s="918" t="s">
        <v>50</v>
      </c>
      <c r="E45" s="918"/>
      <c r="F45" s="403">
        <f>$K$7*'données éco.'!AB69</f>
        <v>0</v>
      </c>
      <c r="G45" s="103">
        <f t="shared" ref="G45:G70" si="1">IF($E$7="","",F45/$E$7)</f>
        <v>0</v>
      </c>
    </row>
    <row r="46" spans="2:7" ht="15.75" hidden="1" thickBot="1">
      <c r="B46" s="994"/>
      <c r="D46" s="1006" t="s">
        <v>337</v>
      </c>
      <c r="E46" s="1007"/>
      <c r="F46" s="403">
        <f>$K$7*'données éco.'!AB70</f>
        <v>0</v>
      </c>
      <c r="G46" s="103"/>
    </row>
    <row r="47" spans="2:7" ht="15.75" hidden="1" thickBot="1">
      <c r="B47" s="994"/>
      <c r="D47" s="918" t="s">
        <v>51</v>
      </c>
      <c r="E47" s="918"/>
      <c r="F47" s="403">
        <f>$K$7*'données éco.'!AB71</f>
        <v>25</v>
      </c>
      <c r="G47" s="103">
        <f t="shared" si="1"/>
        <v>2.2727272727272728E-2</v>
      </c>
    </row>
    <row r="48" spans="2:7" ht="15.75" hidden="1" thickBot="1">
      <c r="B48" s="994"/>
      <c r="D48" s="918" t="s">
        <v>52</v>
      </c>
      <c r="E48" s="918"/>
      <c r="F48" s="403">
        <f>$K$7*'données éco.'!AB72</f>
        <v>125</v>
      </c>
      <c r="G48" s="103">
        <f t="shared" si="1"/>
        <v>0.11363636363636363</v>
      </c>
    </row>
    <row r="49" spans="2:7" ht="15.75" hidden="1" thickBot="1">
      <c r="B49" s="994"/>
      <c r="D49" s="918" t="s">
        <v>53</v>
      </c>
      <c r="E49" s="918"/>
      <c r="F49" s="403">
        <f>$K$7*'données éco.'!AB73</f>
        <v>25</v>
      </c>
      <c r="G49" s="103">
        <f t="shared" si="1"/>
        <v>2.2727272727272728E-2</v>
      </c>
    </row>
    <row r="50" spans="2:7" ht="15.75" hidden="1" thickBot="1">
      <c r="B50" s="994"/>
      <c r="D50" s="918" t="s">
        <v>54</v>
      </c>
      <c r="E50" s="918"/>
      <c r="F50" s="403">
        <f>$K$7*'données éco.'!AB74</f>
        <v>15</v>
      </c>
      <c r="G50" s="103">
        <f t="shared" si="1"/>
        <v>1.3636363636363636E-2</v>
      </c>
    </row>
    <row r="51" spans="2:7" ht="15.75" hidden="1" thickBot="1">
      <c r="B51" s="994"/>
      <c r="D51" s="918" t="s">
        <v>56</v>
      </c>
      <c r="E51" s="918"/>
      <c r="F51" s="403">
        <f>$K$7*'données éco.'!AB75</f>
        <v>10</v>
      </c>
      <c r="G51" s="103">
        <f t="shared" si="1"/>
        <v>9.0909090909090905E-3</v>
      </c>
    </row>
    <row r="52" spans="2:7" ht="15.75" hidden="1" thickBot="1">
      <c r="B52" s="994"/>
      <c r="D52" s="918" t="s">
        <v>57</v>
      </c>
      <c r="E52" s="918"/>
      <c r="F52" s="403">
        <f>$K$7*'données éco.'!AB76</f>
        <v>70</v>
      </c>
      <c r="G52" s="103">
        <f t="shared" si="1"/>
        <v>6.363636363636363E-2</v>
      </c>
    </row>
    <row r="53" spans="2:7" ht="15.75" hidden="1" thickBot="1">
      <c r="B53" s="994"/>
      <c r="D53" s="918" t="s">
        <v>58</v>
      </c>
      <c r="E53" s="918"/>
      <c r="F53" s="403">
        <f>$K$7*'données éco.'!AB77</f>
        <v>0</v>
      </c>
      <c r="G53" s="103">
        <f t="shared" si="1"/>
        <v>0</v>
      </c>
    </row>
    <row r="54" spans="2:7" ht="15.75" hidden="1" thickBot="1">
      <c r="B54" s="994"/>
      <c r="D54" s="918" t="s">
        <v>59</v>
      </c>
      <c r="E54" s="918"/>
      <c r="F54" s="403">
        <f>$K$7*'données éco.'!AB78</f>
        <v>0</v>
      </c>
      <c r="G54" s="103">
        <f t="shared" si="1"/>
        <v>0</v>
      </c>
    </row>
    <row r="55" spans="2:7" ht="15.75" hidden="1" thickBot="1">
      <c r="B55" s="994"/>
      <c r="D55" s="918" t="s">
        <v>60</v>
      </c>
      <c r="E55" s="918"/>
      <c r="F55" s="403">
        <f>$K$7*'données éco.'!AB79</f>
        <v>15</v>
      </c>
      <c r="G55" s="103">
        <f t="shared" si="1"/>
        <v>1.3636363636363636E-2</v>
      </c>
    </row>
    <row r="56" spans="2:7" ht="15.75" thickBot="1">
      <c r="B56" s="994"/>
      <c r="D56" s="918" t="s">
        <v>61</v>
      </c>
      <c r="E56" s="918"/>
      <c r="F56" s="403">
        <f>$K$7*'données éco.'!AB80</f>
        <v>25</v>
      </c>
      <c r="G56" s="103">
        <f t="shared" si="1"/>
        <v>2.2727272727272728E-2</v>
      </c>
    </row>
    <row r="57" spans="2:7" ht="15.75" hidden="1" thickBot="1">
      <c r="B57" s="994"/>
      <c r="D57" s="918" t="s">
        <v>62</v>
      </c>
      <c r="E57" s="918"/>
      <c r="F57" s="403">
        <f>$K$7*'données éco.'!AB81</f>
        <v>150</v>
      </c>
      <c r="G57" s="103">
        <f t="shared" si="1"/>
        <v>0.13636363636363635</v>
      </c>
    </row>
    <row r="58" spans="2:7" ht="15.75" hidden="1" thickBot="1">
      <c r="B58" s="994"/>
      <c r="D58" s="918" t="s">
        <v>63</v>
      </c>
      <c r="E58" s="918"/>
      <c r="F58" s="403">
        <f>$K$7*'données éco.'!AB82</f>
        <v>12.5</v>
      </c>
      <c r="G58" s="103">
        <f t="shared" si="1"/>
        <v>1.1363636363636364E-2</v>
      </c>
    </row>
    <row r="59" spans="2:7" ht="15.75" hidden="1" thickBot="1">
      <c r="B59" s="994"/>
      <c r="D59" s="918" t="s">
        <v>64</v>
      </c>
      <c r="E59" s="918"/>
      <c r="F59" s="403">
        <f>$K$7*'données éco.'!AB83</f>
        <v>12.5</v>
      </c>
      <c r="G59" s="103">
        <f t="shared" si="1"/>
        <v>1.1363636363636364E-2</v>
      </c>
    </row>
    <row r="60" spans="2:7" ht="15.75" hidden="1" thickBot="1">
      <c r="B60" s="994"/>
      <c r="D60" s="918" t="s">
        <v>65</v>
      </c>
      <c r="E60" s="918"/>
      <c r="F60" s="403">
        <f>$K$7*'données éco.'!AB84</f>
        <v>0</v>
      </c>
      <c r="G60" s="103">
        <f t="shared" si="1"/>
        <v>0</v>
      </c>
    </row>
    <row r="61" spans="2:7" ht="15.75" thickBot="1">
      <c r="B61" s="994"/>
      <c r="D61" s="918" t="s">
        <v>66</v>
      </c>
      <c r="E61" s="918"/>
      <c r="F61" s="403">
        <f>$K$7*'données éco.'!AB85</f>
        <v>0</v>
      </c>
      <c r="G61" s="103">
        <f t="shared" si="1"/>
        <v>0</v>
      </c>
    </row>
    <row r="62" spans="2:7" ht="15.75" hidden="1" thickBot="1">
      <c r="B62" s="994"/>
      <c r="D62" s="918" t="s">
        <v>67</v>
      </c>
      <c r="E62" s="918"/>
      <c r="F62" s="403">
        <f>$K$7*'données éco.'!AB86</f>
        <v>525</v>
      </c>
      <c r="G62" s="103">
        <f t="shared" si="1"/>
        <v>0.47727272727272729</v>
      </c>
    </row>
    <row r="63" spans="2:7" ht="15.75" hidden="1" thickBot="1">
      <c r="B63" s="994"/>
      <c r="D63" s="918" t="s">
        <v>68</v>
      </c>
      <c r="E63" s="918"/>
      <c r="F63" s="403">
        <f>$K$7*'données éco.'!AB87</f>
        <v>0</v>
      </c>
      <c r="G63" s="103">
        <f t="shared" si="1"/>
        <v>0</v>
      </c>
    </row>
    <row r="64" spans="2:7" ht="15.75" thickBot="1">
      <c r="B64" s="994"/>
      <c r="D64" s="918" t="s">
        <v>69</v>
      </c>
      <c r="E64" s="918"/>
      <c r="F64" s="403">
        <f>$K$7*'données éco.'!AB88</f>
        <v>75</v>
      </c>
      <c r="G64" s="103">
        <f t="shared" si="1"/>
        <v>6.8181818181818177E-2</v>
      </c>
    </row>
    <row r="65" spans="2:10" ht="15.75" thickBot="1">
      <c r="B65" s="994"/>
      <c r="D65" s="918" t="s">
        <v>70</v>
      </c>
      <c r="E65" s="918"/>
      <c r="F65" s="403">
        <f>$K$7*'données éco.'!AB89</f>
        <v>162.5</v>
      </c>
      <c r="G65" s="103">
        <f t="shared" si="1"/>
        <v>0.14772727272727273</v>
      </c>
    </row>
    <row r="66" spans="2:10" ht="15.75" hidden="1" thickBot="1">
      <c r="B66" s="994"/>
      <c r="D66" s="918"/>
      <c r="E66" s="918"/>
      <c r="F66" s="403"/>
      <c r="G66" s="103">
        <f t="shared" si="1"/>
        <v>0</v>
      </c>
    </row>
    <row r="67" spans="2:10" ht="15.75" hidden="1" thickBot="1">
      <c r="B67" s="994"/>
      <c r="D67" s="940"/>
      <c r="E67" s="942"/>
      <c r="F67" s="403"/>
      <c r="G67" s="103">
        <f t="shared" si="1"/>
        <v>0</v>
      </c>
    </row>
    <row r="68" spans="2:10" ht="15.75" hidden="1" thickBot="1">
      <c r="B68" s="994"/>
      <c r="D68" s="940"/>
      <c r="E68" s="942"/>
      <c r="F68" s="403"/>
      <c r="G68" s="103">
        <f t="shared" si="1"/>
        <v>0</v>
      </c>
    </row>
    <row r="69" spans="2:10" ht="15.75" hidden="1" thickBot="1">
      <c r="B69" s="994"/>
      <c r="D69" s="940"/>
      <c r="E69" s="942"/>
      <c r="F69" s="403"/>
      <c r="G69" s="103">
        <f t="shared" si="1"/>
        <v>0</v>
      </c>
    </row>
    <row r="70" spans="2:10" ht="15.75" hidden="1" thickBot="1">
      <c r="B70" s="994"/>
      <c r="D70" s="901"/>
      <c r="E70" s="901"/>
      <c r="F70" s="403"/>
      <c r="G70" s="103">
        <f t="shared" si="1"/>
        <v>0</v>
      </c>
    </row>
    <row r="71" spans="2:10" ht="15.6" customHeight="1" thickBot="1">
      <c r="B71" s="994"/>
      <c r="D71" s="1000" t="s">
        <v>471</v>
      </c>
      <c r="E71" s="1000"/>
      <c r="F71" s="45">
        <f>SUM(F44:F70)</f>
        <v>1247.5</v>
      </c>
      <c r="G71" s="46">
        <f>IF($E$7="","",F71/E7)</f>
        <v>1.134090909090909</v>
      </c>
    </row>
    <row r="72" spans="2:10" ht="15.75" thickBot="1">
      <c r="B72" s="994"/>
      <c r="D72" s="1001"/>
      <c r="E72" s="1001"/>
      <c r="F72" s="1001"/>
      <c r="G72" s="1001"/>
    </row>
    <row r="73" spans="2:10" ht="15.75" thickBot="1">
      <c r="B73" s="994"/>
      <c r="D73" s="1002" t="s">
        <v>300</v>
      </c>
      <c r="E73" s="1002"/>
      <c r="F73" s="403">
        <v>0</v>
      </c>
      <c r="G73" s="103">
        <f>IF($E$7="","",F73/$E$7)</f>
        <v>0</v>
      </c>
    </row>
    <row r="74" spans="2:10" ht="16.5" thickBot="1">
      <c r="B74" s="994"/>
      <c r="D74" s="1002" t="s">
        <v>469</v>
      </c>
      <c r="E74" s="1002"/>
      <c r="F74" s="403">
        <f>13289*K7</f>
        <v>664.45</v>
      </c>
      <c r="G74" s="103">
        <f t="shared" ref="G74:G75" si="2">IF($E$7="","",F74/$E$7)</f>
        <v>0.60404545454545455</v>
      </c>
    </row>
    <row r="75" spans="2:10" ht="15.75" thickBot="1">
      <c r="B75" s="994"/>
      <c r="D75" s="1002" t="s">
        <v>301</v>
      </c>
      <c r="E75" s="1002"/>
      <c r="F75" s="403">
        <v>0</v>
      </c>
      <c r="G75" s="103">
        <f t="shared" si="2"/>
        <v>0</v>
      </c>
    </row>
    <row r="76" spans="2:10" ht="15.75" thickBot="1">
      <c r="B76" s="994"/>
      <c r="D76" s="1003"/>
      <c r="E76" s="1003"/>
      <c r="F76" s="1003"/>
      <c r="G76" s="1003"/>
    </row>
    <row r="77" spans="2:10" ht="15.6" customHeight="1" thickBot="1">
      <c r="B77" s="994"/>
      <c r="D77" s="998" t="s">
        <v>470</v>
      </c>
      <c r="E77" s="999"/>
      <c r="F77" s="45">
        <f>SUM(F71:F75)</f>
        <v>1911.95</v>
      </c>
      <c r="G77" s="46">
        <f>IF($E$7="","",F77/E7)</f>
        <v>1.7381363636363636</v>
      </c>
    </row>
    <row r="78" spans="2:10" ht="13.5" thickBot="1">
      <c r="B78" s="994"/>
      <c r="D78" s="992"/>
      <c r="E78" s="992"/>
      <c r="F78" s="992"/>
      <c r="G78" s="992"/>
      <c r="J78" s="823">
        <f>$F$74/$F$103</f>
        <v>9.168153412893229E-2</v>
      </c>
    </row>
    <row r="79" spans="2:10" ht="16.5" thickBot="1">
      <c r="B79" s="994"/>
      <c r="D79" s="993" t="s">
        <v>302</v>
      </c>
      <c r="E79" s="993"/>
      <c r="F79" s="47">
        <f>F41+F77</f>
        <v>4667.37</v>
      </c>
      <c r="G79" s="48">
        <f>IF($E$7="","",F79/E7)</f>
        <v>4.2430636363636367</v>
      </c>
    </row>
    <row r="80" spans="2:10" ht="16.5" thickBot="1">
      <c r="D80" s="49"/>
      <c r="E80" s="39"/>
      <c r="F80" s="50"/>
      <c r="G80" s="51"/>
    </row>
    <row r="81" spans="2:7" ht="15" customHeight="1" thickBot="1">
      <c r="B81" s="994" t="s">
        <v>303</v>
      </c>
      <c r="D81" s="995" t="s">
        <v>304</v>
      </c>
      <c r="E81" s="995"/>
      <c r="F81" s="105">
        <f>E7*E8</f>
        <v>15400</v>
      </c>
      <c r="G81" s="104">
        <f>IF($E$7="","",$E$8)</f>
        <v>14</v>
      </c>
    </row>
    <row r="82" spans="2:7" ht="21" customHeight="1" thickBot="1">
      <c r="B82" s="994"/>
      <c r="D82" s="996" t="s">
        <v>305</v>
      </c>
      <c r="E82" s="996"/>
      <c r="F82" s="403">
        <f>K7*3420</f>
        <v>171</v>
      </c>
      <c r="G82" s="103">
        <f>IF($E$7="","",F82/$E$7)</f>
        <v>0.15545454545454546</v>
      </c>
    </row>
    <row r="83" spans="2:7" ht="15" customHeight="1" thickBot="1">
      <c r="B83" s="994"/>
      <c r="D83" s="987"/>
      <c r="E83" s="987"/>
      <c r="F83" s="987"/>
      <c r="G83" s="987"/>
    </row>
    <row r="84" spans="2:7" ht="16.5" thickBot="1">
      <c r="B84" s="994"/>
      <c r="D84" s="997" t="s">
        <v>306</v>
      </c>
      <c r="E84" s="997"/>
      <c r="F84" s="52">
        <f>F82+F81</f>
        <v>15571</v>
      </c>
      <c r="G84" s="53">
        <f>IF($E$7="","",F84/E7)</f>
        <v>14.155454545454546</v>
      </c>
    </row>
    <row r="85" spans="2:7" ht="15.75" thickBot="1">
      <c r="D85" s="39"/>
      <c r="E85" s="54"/>
      <c r="F85" s="55"/>
      <c r="G85" s="51"/>
    </row>
    <row r="86" spans="2:7" ht="31.9" customHeight="1" thickBot="1">
      <c r="D86" s="989" t="s">
        <v>349</v>
      </c>
      <c r="E86" s="989"/>
      <c r="F86" s="56">
        <f>F84-F79</f>
        <v>10903.630000000001</v>
      </c>
      <c r="G86" s="57">
        <f>IF($E$7="","",F86/E7)</f>
        <v>9.9123909090909095</v>
      </c>
    </row>
    <row r="87" spans="2:7" ht="16.5" thickBot="1">
      <c r="D87" s="58"/>
      <c r="E87" s="39"/>
      <c r="F87" s="41"/>
      <c r="G87" s="59"/>
    </row>
    <row r="88" spans="2:7" ht="15" customHeight="1" thickBot="1">
      <c r="B88" s="984" t="s">
        <v>307</v>
      </c>
      <c r="D88" s="990" t="s">
        <v>308</v>
      </c>
      <c r="E88" s="990"/>
      <c r="F88" s="405">
        <v>300</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2550</v>
      </c>
      <c r="G91" s="63">
        <f>IF($E$7="","",F91/$E$7)</f>
        <v>2.3181818181818183</v>
      </c>
    </row>
    <row r="92" spans="2:7" ht="15.75" thickBot="1">
      <c r="D92" s="39"/>
      <c r="E92" s="39"/>
      <c r="F92" s="41"/>
      <c r="G92" s="51"/>
    </row>
    <row r="93" spans="2:7" ht="15" customHeight="1" thickBot="1">
      <c r="B93" s="984" t="s">
        <v>311</v>
      </c>
      <c r="D93" s="985" t="s">
        <v>312</v>
      </c>
      <c r="E93" s="985"/>
      <c r="F93" s="405">
        <f>K7*25000</f>
        <v>1250</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25</v>
      </c>
      <c r="G96" s="67">
        <f>IF($E$7="","",F96/$E$7)</f>
        <v>2.2727272727272728E-2</v>
      </c>
    </row>
    <row r="97" spans="2:10" ht="15.75" thickBot="1">
      <c r="D97" s="39"/>
      <c r="E97" s="39"/>
      <c r="F97" s="41"/>
      <c r="G97" s="42"/>
    </row>
    <row r="98" spans="2:10" ht="15" customHeight="1" thickBot="1">
      <c r="B98" s="984" t="s">
        <v>327</v>
      </c>
      <c r="D98" s="985" t="s">
        <v>315</v>
      </c>
      <c r="E98" s="985"/>
      <c r="F98" s="407">
        <f>1*K7</f>
        <v>0.05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5</v>
      </c>
      <c r="G101" s="67">
        <f>IF($E$7="","",F101/$E$7)</f>
        <v>4.5454545454545452E-3</v>
      </c>
    </row>
    <row r="102" spans="2:10" ht="15.75" thickBot="1">
      <c r="D102" s="39"/>
      <c r="E102" s="39"/>
      <c r="F102" s="41"/>
      <c r="G102" s="42"/>
    </row>
    <row r="103" spans="2:10" ht="16.5" thickBot="1">
      <c r="D103" s="983" t="s">
        <v>318</v>
      </c>
      <c r="E103" s="983"/>
      <c r="F103" s="62">
        <f>F101+F96+F91+F79</f>
        <v>7247.37</v>
      </c>
      <c r="G103" s="63">
        <f>IF($E$7="","",F103/E7)</f>
        <v>6.5885181818181815</v>
      </c>
    </row>
    <row r="104" spans="2:10" ht="13.5" thickBot="1"/>
    <row r="105" spans="2:10" ht="16.5" thickBot="1">
      <c r="D105" s="983" t="s">
        <v>472</v>
      </c>
      <c r="E105" s="983"/>
      <c r="F105" s="62">
        <f>F101+F96+F91+F79-F82</f>
        <v>7076.37</v>
      </c>
      <c r="G105" s="63">
        <f>IF($E$7="","",F105/E7)</f>
        <v>6.4330636363636362</v>
      </c>
      <c r="J105" s="823">
        <f>1-G105/G107</f>
        <v>0.54049545454545456</v>
      </c>
    </row>
    <row r="106" spans="2:10" ht="13.5" thickBot="1"/>
    <row r="107" spans="2:10" ht="16.5" thickBot="1">
      <c r="D107" s="983" t="s">
        <v>319</v>
      </c>
      <c r="E107" s="983"/>
      <c r="F107" s="62"/>
      <c r="G107" s="63">
        <f>G81</f>
        <v>14</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2:G72"/>
    <mergeCell ref="D73:E73"/>
    <mergeCell ref="D74:E74"/>
    <mergeCell ref="D75:E75"/>
    <mergeCell ref="D76:G76"/>
    <mergeCell ref="D77:E77"/>
    <mergeCell ref="D66:E66"/>
    <mergeCell ref="D67:E67"/>
    <mergeCell ref="D68:E68"/>
    <mergeCell ref="D69:E69"/>
    <mergeCell ref="D70:E70"/>
    <mergeCell ref="D71:E71"/>
    <mergeCell ref="D60:E60"/>
    <mergeCell ref="D61:E61"/>
    <mergeCell ref="D62:E62"/>
    <mergeCell ref="D63:E63"/>
    <mergeCell ref="D64:E64"/>
    <mergeCell ref="D65:E65"/>
    <mergeCell ref="D54:E54"/>
    <mergeCell ref="D55:E55"/>
    <mergeCell ref="D56:E56"/>
    <mergeCell ref="D57:E57"/>
    <mergeCell ref="D58:E58"/>
    <mergeCell ref="D59:E59"/>
    <mergeCell ref="D48:E48"/>
    <mergeCell ref="D49:E49"/>
    <mergeCell ref="D50:E50"/>
    <mergeCell ref="D51:E51"/>
    <mergeCell ref="D52:E52"/>
    <mergeCell ref="D53:E53"/>
    <mergeCell ref="D42:G42"/>
    <mergeCell ref="D43:G43"/>
    <mergeCell ref="D44:E44"/>
    <mergeCell ref="D45:E45"/>
    <mergeCell ref="D46:E46"/>
    <mergeCell ref="D47:E47"/>
    <mergeCell ref="D36:E36"/>
    <mergeCell ref="D37:E37"/>
    <mergeCell ref="D38:E38"/>
    <mergeCell ref="D39:E39"/>
    <mergeCell ref="D40:E40"/>
    <mergeCell ref="D41:E41"/>
    <mergeCell ref="D30:E30"/>
    <mergeCell ref="D31:E31"/>
    <mergeCell ref="D32:E32"/>
    <mergeCell ref="D33:E33"/>
    <mergeCell ref="D34:E34"/>
    <mergeCell ref="D35:E35"/>
    <mergeCell ref="D24:E24"/>
    <mergeCell ref="D25:E25"/>
    <mergeCell ref="D26:E26"/>
    <mergeCell ref="D27:E27"/>
    <mergeCell ref="D28:E28"/>
    <mergeCell ref="D29:E29"/>
    <mergeCell ref="D18:E18"/>
    <mergeCell ref="D19:E19"/>
    <mergeCell ref="D20:E20"/>
    <mergeCell ref="D21:E21"/>
    <mergeCell ref="D22:E22"/>
    <mergeCell ref="D23:E23"/>
    <mergeCell ref="D2:G2"/>
    <mergeCell ref="E6:G6"/>
    <mergeCell ref="B11:B79"/>
    <mergeCell ref="D11:G11"/>
    <mergeCell ref="D12:E12"/>
    <mergeCell ref="D13:E13"/>
    <mergeCell ref="D14:E14"/>
    <mergeCell ref="D15:E15"/>
    <mergeCell ref="D16:E16"/>
    <mergeCell ref="D17:E17"/>
  </mergeCells>
  <dataValidations count="3">
    <dataValidation type="decimal" allowBlank="1" showInputMessage="1" showErrorMessage="1" error="Pour que les calculs fonctionnent correctement, vous ne pouvez taper que des chiffres dans ces cellules." sqref="G8" xr:uid="{1BD28641-E062-4F65-A0C3-81937589C9C4}">
      <formula1>0</formula1>
      <formula2>10000000000</formula2>
    </dataValidation>
    <dataValidation type="decimal" allowBlank="1" showInputMessage="1" showErrorMessage="1" error="Pour que les calculs fonctionnent correctement, vous ne pouvez taper que des chiffres dans ces cellules." sqref="E7:E10 E47:E50 E101 F12:F40 E70:E71 E73:F75 E77 E80:E81 F82 E85 E87 F88:F89 E92 E96:E99 E44:E45 F44:F70" xr:uid="{F966804D-1698-455A-B9F5-66C784C706BD}">
      <formula1>0</formula1>
      <formula2>100000000</formula2>
    </dataValidation>
    <dataValidation type="list" allowBlank="1" showInputMessage="1" showErrorMessage="1" sqref="F7" xr:uid="{71AF9154-E6E9-413E-A35B-4A248E08A6CA}">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100" activePane="bottomRight" state="frozen"/>
      <selection activeCell="R29" sqref="R29"/>
      <selection pane="topRight" activeCell="R29" sqref="R29"/>
      <selection pane="bottomLeft" activeCell="R29" sqref="R29"/>
      <selection pane="bottomRight" activeCell="E31" sqref="E3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334</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409">
        <v>15000</v>
      </c>
      <c r="H6" s="179">
        <f>G117</f>
        <v>101719.08333333333</v>
      </c>
      <c r="I6" s="179">
        <f t="shared" ref="I6:R6" si="0">H117</f>
        <v>95782.916666666657</v>
      </c>
      <c r="J6" s="179">
        <f t="shared" si="0"/>
        <v>28685.999999999985</v>
      </c>
      <c r="K6" s="179">
        <f t="shared" si="0"/>
        <v>73011.527777777766</v>
      </c>
      <c r="L6" s="179">
        <f t="shared" si="0"/>
        <v>79550.305555555547</v>
      </c>
      <c r="M6" s="179">
        <f t="shared" si="0"/>
        <v>33517.833333333328</v>
      </c>
      <c r="N6" s="179">
        <f t="shared" si="0"/>
        <v>47255.361111111109</v>
      </c>
      <c r="O6" s="179">
        <f t="shared" si="0"/>
        <v>48303.138888888891</v>
      </c>
      <c r="P6" s="179">
        <f t="shared" si="0"/>
        <v>39628.666666666672</v>
      </c>
      <c r="Q6" s="179">
        <f t="shared" si="0"/>
        <v>30954.194444444449</v>
      </c>
      <c r="R6" s="180">
        <f t="shared" si="0"/>
        <v>23823.972222222226</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Fraises</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53000</v>
      </c>
      <c r="E31" s="291">
        <f t="shared" si="1"/>
        <v>0</v>
      </c>
      <c r="F31" s="291">
        <f>SUM(G31:R31)</f>
        <v>53000</v>
      </c>
      <c r="G31" s="410"/>
      <c r="H31" s="410"/>
      <c r="I31" s="410"/>
      <c r="J31" s="410"/>
      <c r="K31" s="410"/>
      <c r="L31" s="410"/>
      <c r="M31" s="410">
        <v>53000</v>
      </c>
      <c r="N31" s="410"/>
      <c r="O31" s="410"/>
      <c r="P31" s="410"/>
      <c r="Q31" s="410"/>
      <c r="R31" s="411"/>
    </row>
    <row r="32" spans="2:18" s="108" customFormat="1" ht="15.75">
      <c r="B32" s="625" t="s">
        <v>459</v>
      </c>
      <c r="C32" s="611" t="s">
        <v>488</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1041"/>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75">
      <c r="B35" s="1025" t="s">
        <v>460</v>
      </c>
      <c r="C35" s="1026"/>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33" t="s">
        <v>344</v>
      </c>
      <c r="C36" s="1034"/>
      <c r="D36" s="698">
        <f>'données éco.'!J31+D30+D31+D32+D33</f>
        <v>209458</v>
      </c>
      <c r="E36" s="698">
        <f t="shared" si="1"/>
        <v>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75">
      <c r="B68" s="1029" t="s">
        <v>341</v>
      </c>
      <c r="C68" s="1030"/>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18" t="s">
        <v>461</v>
      </c>
      <c r="C69" s="1019"/>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8"/>
        <v>0</v>
      </c>
      <c r="F75" s="292">
        <f t="shared" si="2"/>
        <v>499.99999999999994</v>
      </c>
      <c r="G75" s="410"/>
      <c r="H75" s="410"/>
      <c r="I75" s="410"/>
      <c r="J75" s="410">
        <f>$D$75/9</f>
        <v>55.555555555555557</v>
      </c>
      <c r="K75" s="410">
        <f t="shared" ref="K75:R75" si="9">$D$75/9</f>
        <v>55.555555555555557</v>
      </c>
      <c r="L75" s="410">
        <f t="shared" si="9"/>
        <v>55.555555555555557</v>
      </c>
      <c r="M75" s="410">
        <f t="shared" si="9"/>
        <v>55.555555555555557</v>
      </c>
      <c r="N75" s="410">
        <f t="shared" si="9"/>
        <v>55.555555555555557</v>
      </c>
      <c r="O75" s="410">
        <f t="shared" si="9"/>
        <v>55.555555555555557</v>
      </c>
      <c r="P75" s="410">
        <f t="shared" si="9"/>
        <v>55.555555555555557</v>
      </c>
      <c r="Q75" s="410">
        <f t="shared" si="9"/>
        <v>55.555555555555557</v>
      </c>
      <c r="R75" s="410">
        <f t="shared" si="9"/>
        <v>55.555555555555557</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8"/>
        <v>0</v>
      </c>
      <c r="F79" s="292">
        <f t="shared" si="2"/>
        <v>280</v>
      </c>
      <c r="G79" s="410">
        <f>$D$79/12</f>
        <v>23.333333333333332</v>
      </c>
      <c r="H79" s="410">
        <f t="shared" ref="H79:R79" si="10">$D$79/12</f>
        <v>23.333333333333332</v>
      </c>
      <c r="I79" s="410">
        <f t="shared" si="10"/>
        <v>23.333333333333332</v>
      </c>
      <c r="J79" s="410">
        <f t="shared" si="10"/>
        <v>23.333333333333332</v>
      </c>
      <c r="K79" s="410">
        <f t="shared" si="10"/>
        <v>23.333333333333332</v>
      </c>
      <c r="L79" s="410">
        <f t="shared" si="10"/>
        <v>23.333333333333332</v>
      </c>
      <c r="M79" s="410">
        <f t="shared" si="10"/>
        <v>23.333333333333332</v>
      </c>
      <c r="N79" s="410">
        <f t="shared" si="10"/>
        <v>23.333333333333332</v>
      </c>
      <c r="O79" s="410">
        <f t="shared" si="10"/>
        <v>23.333333333333332</v>
      </c>
      <c r="P79" s="410">
        <f t="shared" si="10"/>
        <v>23.333333333333332</v>
      </c>
      <c r="Q79" s="410">
        <f t="shared" si="10"/>
        <v>23.333333333333332</v>
      </c>
      <c r="R79" s="410">
        <f t="shared" si="10"/>
        <v>23.333333333333332</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11">300/12</f>
        <v>25</v>
      </c>
      <c r="I82" s="410">
        <f t="shared" si="11"/>
        <v>25</v>
      </c>
      <c r="J82" s="410">
        <f t="shared" si="11"/>
        <v>25</v>
      </c>
      <c r="K82" s="410">
        <f t="shared" si="11"/>
        <v>25</v>
      </c>
      <c r="L82" s="410">
        <f t="shared" si="11"/>
        <v>25</v>
      </c>
      <c r="M82" s="410">
        <f t="shared" si="11"/>
        <v>25</v>
      </c>
      <c r="N82" s="410">
        <f t="shared" si="11"/>
        <v>25</v>
      </c>
      <c r="O82" s="410">
        <f t="shared" si="11"/>
        <v>25</v>
      </c>
      <c r="P82" s="410">
        <f t="shared" si="11"/>
        <v>25</v>
      </c>
      <c r="Q82" s="410">
        <f t="shared" si="11"/>
        <v>25</v>
      </c>
      <c r="R82" s="411">
        <f t="shared" si="11"/>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8"/>
        <v>0</v>
      </c>
      <c r="F92" s="292">
        <f t="shared" si="2"/>
        <v>3250.0000000000005</v>
      </c>
      <c r="G92" s="410">
        <f>$D$92/12</f>
        <v>270.83333333333331</v>
      </c>
      <c r="H92" s="410">
        <f t="shared" ref="H92:R92" si="12">$D$92/12</f>
        <v>270.83333333333331</v>
      </c>
      <c r="I92" s="410">
        <f t="shared" si="12"/>
        <v>270.83333333333331</v>
      </c>
      <c r="J92" s="410">
        <f t="shared" si="12"/>
        <v>270.83333333333331</v>
      </c>
      <c r="K92" s="410">
        <f t="shared" si="12"/>
        <v>270.83333333333331</v>
      </c>
      <c r="L92" s="410">
        <f t="shared" si="12"/>
        <v>270.83333333333331</v>
      </c>
      <c r="M92" s="410">
        <f t="shared" si="12"/>
        <v>270.83333333333331</v>
      </c>
      <c r="N92" s="410">
        <f t="shared" si="12"/>
        <v>270.83333333333331</v>
      </c>
      <c r="O92" s="410">
        <f t="shared" si="12"/>
        <v>270.83333333333331</v>
      </c>
      <c r="P92" s="410">
        <f t="shared" si="12"/>
        <v>270.83333333333331</v>
      </c>
      <c r="Q92" s="410">
        <f t="shared" si="12"/>
        <v>270.83333333333331</v>
      </c>
      <c r="R92" s="410">
        <f t="shared" si="12"/>
        <v>270.83333333333331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10905</v>
      </c>
      <c r="E98" s="697">
        <f t="shared" si="8"/>
        <v>0</v>
      </c>
      <c r="F98" s="697">
        <f t="shared" si="2"/>
        <v>10905.000000000004</v>
      </c>
      <c r="G98" s="129">
        <f>SUM(G71:G97)</f>
        <v>4991.166666666667</v>
      </c>
      <c r="H98" s="129">
        <f t="shared" ref="H98:Q98" si="13">SUM(H71:H97)</f>
        <v>491.16666666666663</v>
      </c>
      <c r="I98" s="129">
        <f t="shared" si="13"/>
        <v>491.16666666666663</v>
      </c>
      <c r="J98" s="129">
        <f t="shared" si="13"/>
        <v>546.72222222222217</v>
      </c>
      <c r="K98" s="129">
        <f t="shared" si="13"/>
        <v>546.72222222222217</v>
      </c>
      <c r="L98" s="129">
        <f t="shared" si="13"/>
        <v>546.72222222222217</v>
      </c>
      <c r="M98" s="129">
        <f t="shared" si="13"/>
        <v>546.72222222222217</v>
      </c>
      <c r="N98" s="129">
        <f t="shared" si="13"/>
        <v>546.72222222222217</v>
      </c>
      <c r="O98" s="129">
        <f t="shared" si="13"/>
        <v>546.72222222222217</v>
      </c>
      <c r="P98" s="129">
        <f t="shared" si="13"/>
        <v>546.72222222222217</v>
      </c>
      <c r="Q98" s="129">
        <f t="shared" si="13"/>
        <v>546.72222222222217</v>
      </c>
      <c r="R98" s="121">
        <f>SUM(R71:R97)</f>
        <v>557.72222222222217</v>
      </c>
      <c r="S98" s="118"/>
    </row>
    <row r="99" spans="2:23" s="108" customFormat="1" ht="16.5" thickBot="1">
      <c r="B99" s="1018" t="s">
        <v>462</v>
      </c>
      <c r="C99" s="1019"/>
      <c r="D99" s="122">
        <f>'données éco.'!I95</f>
        <v>2181</v>
      </c>
      <c r="E99" s="122">
        <f t="shared" si="8"/>
        <v>0</v>
      </c>
      <c r="F99" s="293">
        <f t="shared" ref="F99:F112" si="14">SUM(G99:R99)</f>
        <v>2181</v>
      </c>
      <c r="G99" s="414">
        <f>$D$99/12</f>
        <v>181.75</v>
      </c>
      <c r="H99" s="414">
        <f t="shared" ref="H99:R99" si="15">$D$99/12</f>
        <v>181.75</v>
      </c>
      <c r="I99" s="414">
        <f t="shared" si="15"/>
        <v>181.75</v>
      </c>
      <c r="J99" s="414">
        <f t="shared" si="15"/>
        <v>181.75</v>
      </c>
      <c r="K99" s="414">
        <f t="shared" si="15"/>
        <v>181.75</v>
      </c>
      <c r="L99" s="414">
        <f t="shared" si="15"/>
        <v>181.75</v>
      </c>
      <c r="M99" s="414">
        <f t="shared" si="15"/>
        <v>181.75</v>
      </c>
      <c r="N99" s="414">
        <f t="shared" si="15"/>
        <v>181.75</v>
      </c>
      <c r="O99" s="414">
        <f t="shared" si="15"/>
        <v>181.75</v>
      </c>
      <c r="P99" s="414">
        <f t="shared" si="15"/>
        <v>181.75</v>
      </c>
      <c r="Q99" s="414">
        <f t="shared" si="15"/>
        <v>181.75</v>
      </c>
      <c r="R99" s="414">
        <f t="shared" si="15"/>
        <v>181.75</v>
      </c>
      <c r="S99" s="118"/>
    </row>
    <row r="100" spans="2:23" s="108" customFormat="1" ht="15.75" thickBot="1">
      <c r="D100" s="294"/>
      <c r="E100" s="294"/>
      <c r="F100" s="294"/>
    </row>
    <row r="101" spans="2:23" s="108" customFormat="1" ht="21.6" customHeight="1">
      <c r="B101" s="1022" t="s">
        <v>330</v>
      </c>
      <c r="C101" s="126" t="s">
        <v>463</v>
      </c>
      <c r="D101" s="127">
        <f>'données éco.'!H117</f>
        <v>171699</v>
      </c>
      <c r="E101" s="127">
        <f>D101-F101</f>
        <v>0</v>
      </c>
      <c r="F101" s="127">
        <f t="shared" si="14"/>
        <v>171699</v>
      </c>
      <c r="G101" s="412">
        <v>17509</v>
      </c>
      <c r="H101" s="412"/>
      <c r="I101" s="412">
        <v>73340</v>
      </c>
      <c r="J101" s="412"/>
      <c r="K101" s="412"/>
      <c r="L101" s="412">
        <v>47515</v>
      </c>
      <c r="M101" s="412">
        <v>28340</v>
      </c>
      <c r="N101" s="412">
        <v>4995</v>
      </c>
      <c r="O101" s="412"/>
      <c r="P101" s="412"/>
      <c r="Q101" s="412"/>
      <c r="R101" s="413"/>
      <c r="S101" s="118"/>
    </row>
    <row r="102" spans="2:23" s="108" customFormat="1" ht="23.45" customHeight="1" thickBot="1">
      <c r="B102" s="1024"/>
      <c r="C102" s="128" t="s">
        <v>331</v>
      </c>
      <c r="D102" s="122">
        <f>'données éco.'!I117</f>
        <v>33339</v>
      </c>
      <c r="E102" s="293">
        <f>D102-F102</f>
        <v>0</v>
      </c>
      <c r="F102" s="293">
        <f t="shared" si="14"/>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218124</v>
      </c>
      <c r="E105" s="130">
        <f>D105-F105</f>
        <v>0</v>
      </c>
      <c r="F105" s="130">
        <f t="shared" si="14"/>
        <v>218123.99999999997</v>
      </c>
      <c r="G105" s="130">
        <f>SUM(G68+G69+G98+G99+G101+G102)</f>
        <v>25182.916666666668</v>
      </c>
      <c r="H105" s="130">
        <f>SUM(H68+H69+H98+H99+H101+H102)</f>
        <v>672.91666666666663</v>
      </c>
      <c r="I105" s="130">
        <f>SUM(I68+I69+I98+I99+I101+I102)</f>
        <v>88680.916666666672</v>
      </c>
      <c r="J105" s="130">
        <f>SUM(J68+J69+J98+J99+J101+J102)</f>
        <v>728.47222222222217</v>
      </c>
      <c r="K105" s="130">
        <f>SUM(K68+K69+K98+K99+K101+K102)</f>
        <v>728.47222222222217</v>
      </c>
      <c r="L105" s="130">
        <f t="shared" ref="L105" si="16">SUM(L68+L69+L98+L99+L101+L102)</f>
        <v>57746.472222222219</v>
      </c>
      <c r="M105" s="130">
        <f t="shared" ref="M105:R105" si="17">SUM(M68+M69+M98+M99+M101+M102)</f>
        <v>34736.472222222219</v>
      </c>
      <c r="N105" s="130">
        <f t="shared" si="17"/>
        <v>6722.4722222222226</v>
      </c>
      <c r="O105" s="130">
        <f t="shared" si="17"/>
        <v>728.47222222222217</v>
      </c>
      <c r="P105" s="130">
        <f t="shared" si="17"/>
        <v>728.47222222222217</v>
      </c>
      <c r="Q105" s="130">
        <f t="shared" si="17"/>
        <v>728.47222222222217</v>
      </c>
      <c r="R105" s="131">
        <f t="shared" si="17"/>
        <v>739.47222222222217</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2" t="s">
        <v>342</v>
      </c>
      <c r="C108" s="616" t="s">
        <v>465</v>
      </c>
      <c r="D108" s="295"/>
      <c r="E108" s="295"/>
      <c r="F108" s="127">
        <f t="shared" si="14"/>
        <v>0</v>
      </c>
      <c r="G108" s="614"/>
      <c r="H108" s="614"/>
      <c r="I108" s="614"/>
      <c r="J108" s="614"/>
      <c r="K108" s="614"/>
      <c r="L108" s="614"/>
      <c r="M108" s="614"/>
      <c r="N108" s="614"/>
      <c r="O108" s="614"/>
      <c r="P108" s="614"/>
      <c r="Q108" s="614"/>
      <c r="R108" s="615"/>
      <c r="S108" s="118"/>
    </row>
    <row r="109" spans="2:23" s="108" customFormat="1" ht="15.75" thickBot="1">
      <c r="B109" s="1023"/>
      <c r="C109" s="695" t="s">
        <v>466</v>
      </c>
      <c r="D109" s="122">
        <f>Annuités!I104</f>
        <v>95350.887428930291</v>
      </c>
      <c r="E109" s="293">
        <f>D109-F109</f>
        <v>-0.11257106970879249</v>
      </c>
      <c r="F109" s="293">
        <f t="shared" si="14"/>
        <v>95351</v>
      </c>
      <c r="G109" s="416">
        <f t="shared" ref="G109:P109" si="18">ROUND(95351/12,0)</f>
        <v>7946</v>
      </c>
      <c r="H109" s="416">
        <f t="shared" si="18"/>
        <v>7946</v>
      </c>
      <c r="I109" s="416">
        <f t="shared" si="18"/>
        <v>7946</v>
      </c>
      <c r="J109" s="416">
        <f t="shared" si="18"/>
        <v>7946</v>
      </c>
      <c r="K109" s="416">
        <f t="shared" si="18"/>
        <v>7946</v>
      </c>
      <c r="L109" s="416">
        <f t="shared" si="18"/>
        <v>7946</v>
      </c>
      <c r="M109" s="416">
        <f t="shared" si="18"/>
        <v>7946</v>
      </c>
      <c r="N109" s="416">
        <f t="shared" si="18"/>
        <v>7946</v>
      </c>
      <c r="O109" s="416">
        <f t="shared" si="18"/>
        <v>7946</v>
      </c>
      <c r="P109" s="416">
        <f t="shared" si="18"/>
        <v>7946</v>
      </c>
      <c r="Q109" s="416">
        <f>ROUND(95351/12,0)</f>
        <v>7946</v>
      </c>
      <c r="R109" s="417">
        <v>7945</v>
      </c>
      <c r="S109" s="118"/>
    </row>
    <row r="110" spans="2:23" s="108" customFormat="1" ht="16.5" thickBot="1">
      <c r="B110" s="1020" t="s">
        <v>332</v>
      </c>
      <c r="C110" s="1021"/>
      <c r="D110" s="694">
        <f>'données éco.'!E261</f>
        <v>0</v>
      </c>
      <c r="E110" s="127">
        <f>D110-F110</f>
        <v>0</v>
      </c>
      <c r="F110" s="693">
        <f t="shared" si="14"/>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69000</v>
      </c>
      <c r="E111" s="297">
        <f>D111-F111</f>
        <v>0</v>
      </c>
      <c r="F111" s="122">
        <f t="shared" si="14"/>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26350.887428930291</v>
      </c>
      <c r="E112" s="130">
        <f>D112-F112</f>
        <v>-0.11257106970879249</v>
      </c>
      <c r="F112" s="130">
        <f t="shared" si="14"/>
        <v>26351</v>
      </c>
      <c r="G112" s="134">
        <f>SUM(G108:G110)-G111</f>
        <v>-61054</v>
      </c>
      <c r="H112" s="134">
        <f t="shared" ref="H112:R112" si="19">SUM(H108:H110)-H111</f>
        <v>7946</v>
      </c>
      <c r="I112" s="134">
        <f t="shared" si="19"/>
        <v>7946</v>
      </c>
      <c r="J112" s="134">
        <f t="shared" si="19"/>
        <v>7946</v>
      </c>
      <c r="K112" s="134">
        <f t="shared" si="19"/>
        <v>7946</v>
      </c>
      <c r="L112" s="134">
        <f t="shared" si="19"/>
        <v>7946</v>
      </c>
      <c r="M112" s="134">
        <f t="shared" si="19"/>
        <v>7946</v>
      </c>
      <c r="N112" s="134">
        <f t="shared" si="19"/>
        <v>7946</v>
      </c>
      <c r="O112" s="134">
        <f t="shared" si="19"/>
        <v>7946</v>
      </c>
      <c r="P112" s="134">
        <f t="shared" si="19"/>
        <v>7946</v>
      </c>
      <c r="Q112" s="134">
        <f t="shared" si="19"/>
        <v>7946</v>
      </c>
      <c r="R112" s="135">
        <f t="shared" si="19"/>
        <v>7945</v>
      </c>
      <c r="S112" s="118"/>
      <c r="W112" s="619"/>
    </row>
    <row r="113" spans="2:23" s="108" customFormat="1" ht="16.5" thickBot="1">
      <c r="D113" s="294"/>
      <c r="E113" s="294"/>
      <c r="F113" s="294"/>
      <c r="W113" s="619"/>
    </row>
    <row r="114" spans="2:23" s="136" customFormat="1" ht="26.45" customHeight="1" thickBot="1">
      <c r="B114" s="1016" t="s">
        <v>359</v>
      </c>
      <c r="C114" s="1017"/>
      <c r="D114" s="700">
        <f>D112+D105</f>
        <v>244474.88742893029</v>
      </c>
      <c r="E114" s="130">
        <f>D114-F114</f>
        <v>-0.11257106967968866</v>
      </c>
      <c r="F114" s="131">
        <f>SUM(G114:R114)</f>
        <v>244474.99999999997</v>
      </c>
      <c r="G114" s="140">
        <f t="shared" ref="G114:R114" si="20">G105+G112</f>
        <v>-35871.083333333328</v>
      </c>
      <c r="H114" s="140">
        <f t="shared" si="20"/>
        <v>8618.9166666666661</v>
      </c>
      <c r="I114" s="140">
        <f t="shared" si="20"/>
        <v>96626.916666666672</v>
      </c>
      <c r="J114" s="140">
        <f t="shared" si="20"/>
        <v>8674.4722222222226</v>
      </c>
      <c r="K114" s="140">
        <f t="shared" si="20"/>
        <v>8674.4722222222226</v>
      </c>
      <c r="L114" s="140">
        <f t="shared" si="20"/>
        <v>65692.472222222219</v>
      </c>
      <c r="M114" s="140">
        <f t="shared" si="20"/>
        <v>42682.472222222219</v>
      </c>
      <c r="N114" s="140">
        <f t="shared" si="20"/>
        <v>14668.472222222223</v>
      </c>
      <c r="O114" s="140">
        <f t="shared" si="20"/>
        <v>8674.4722222222226</v>
      </c>
      <c r="P114" s="140">
        <f t="shared" si="20"/>
        <v>8674.4722222222226</v>
      </c>
      <c r="Q114" s="140">
        <f t="shared" si="20"/>
        <v>8674.4722222222226</v>
      </c>
      <c r="R114" s="175">
        <f t="shared" si="20"/>
        <v>8684.4722222222226</v>
      </c>
      <c r="S114" s="137"/>
      <c r="W114" s="618"/>
    </row>
    <row r="115" spans="2:23" s="108" customFormat="1" ht="16.5" thickBot="1">
      <c r="B115" s="1014" t="s">
        <v>360</v>
      </c>
      <c r="C115" s="1015"/>
      <c r="D115" s="1015"/>
      <c r="E115" s="688"/>
      <c r="F115" s="612"/>
      <c r="G115" s="139">
        <f t="shared" ref="G115:R115" si="21">G36-G114</f>
        <v>86719.083333333328</v>
      </c>
      <c r="H115" s="139">
        <f t="shared" si="21"/>
        <v>-8618.9166666666661</v>
      </c>
      <c r="I115" s="139">
        <f t="shared" si="21"/>
        <v>-67096.916666666672</v>
      </c>
      <c r="J115" s="139">
        <f t="shared" si="21"/>
        <v>44325.527777777781</v>
      </c>
      <c r="K115" s="139">
        <f t="shared" si="21"/>
        <v>-8674.4722222222226</v>
      </c>
      <c r="L115" s="139">
        <f t="shared" si="21"/>
        <v>-46032.472222222219</v>
      </c>
      <c r="M115" s="139">
        <f t="shared" si="21"/>
        <v>13737.527777777781</v>
      </c>
      <c r="N115" s="139">
        <f t="shared" si="21"/>
        <v>-14668.472222222223</v>
      </c>
      <c r="O115" s="139">
        <f t="shared" si="21"/>
        <v>-8674.4722222222226</v>
      </c>
      <c r="P115" s="139">
        <f t="shared" si="21"/>
        <v>-8674.4722222222226</v>
      </c>
      <c r="Q115" s="139">
        <f t="shared" si="21"/>
        <v>-8674.4722222222226</v>
      </c>
      <c r="R115" s="176">
        <f t="shared" si="21"/>
        <v>-8684.4722222222226</v>
      </c>
      <c r="S115" s="118"/>
    </row>
    <row r="116" spans="2:23" s="108" customFormat="1" ht="18.75" thickBot="1">
      <c r="B116" s="617" t="s">
        <v>464</v>
      </c>
      <c r="C116" s="689" t="s">
        <v>520</v>
      </c>
      <c r="D116" s="706">
        <f>'données TK'!E5</f>
        <v>1</v>
      </c>
      <c r="E116" s="130"/>
      <c r="F116" s="182">
        <f>SUM(G116:R116)</f>
        <v>35156.5</v>
      </c>
      <c r="G116" s="139"/>
      <c r="H116" s="139">
        <f>IF(AND($D$116&gt;=1,$C$116="Mensuel"),G102+G99+G69-G35,IF(AND($D$116=1,$C$116="Trimestriel"),G102+G99+G69-G35,IF(AND($D$116=4,$C$116="Trimestriel"),G102+G99+G69-G35,IF(AND($D$116=7,$C$116="Trimestriel"),G102+G99+G69-G35,IF(AND($D$116=10,$C$116="Trimestriel"),G102+G99+G69-G35,IF(AND($D$116=4,$C$116="Annuel"),G102+G99+G69-G35,""))))))</f>
        <v>2682.75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15213.25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15716.25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1544.25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4" t="s">
        <v>487</v>
      </c>
      <c r="C117" s="1015"/>
      <c r="D117" s="1015"/>
      <c r="E117" s="687"/>
      <c r="F117" s="613"/>
      <c r="G117" s="141">
        <f>IF(G116="",G6+G115,G6+G115+G116)</f>
        <v>101719.08333333333</v>
      </c>
      <c r="H117" s="141">
        <f t="shared" ref="H117:R117" si="22">IF(H116="",H6+H115,H6+H115+H116)</f>
        <v>95782.916666666657</v>
      </c>
      <c r="I117" s="141">
        <f t="shared" si="22"/>
        <v>28685.999999999985</v>
      </c>
      <c r="J117" s="141">
        <f t="shared" si="22"/>
        <v>73011.527777777766</v>
      </c>
      <c r="K117" s="141">
        <f t="shared" si="22"/>
        <v>79550.305555555547</v>
      </c>
      <c r="L117" s="141">
        <f t="shared" si="22"/>
        <v>33517.833333333328</v>
      </c>
      <c r="M117" s="141">
        <f t="shared" si="22"/>
        <v>47255.361111111109</v>
      </c>
      <c r="N117" s="141">
        <f t="shared" si="22"/>
        <v>48303.138888888891</v>
      </c>
      <c r="O117" s="141">
        <f t="shared" si="22"/>
        <v>39628.666666666672</v>
      </c>
      <c r="P117" s="141">
        <f t="shared" si="22"/>
        <v>30954.194444444449</v>
      </c>
      <c r="Q117" s="141">
        <f t="shared" si="22"/>
        <v>23823.972222222226</v>
      </c>
      <c r="R117" s="141">
        <f t="shared" si="22"/>
        <v>15139.500000000004</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M53" sqref="M53"/>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407</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N'!R117</f>
        <v>15139.500000000004</v>
      </c>
      <c r="H6" s="179">
        <f>G117</f>
        <v>17399.500000000004</v>
      </c>
      <c r="I6" s="179">
        <f t="shared" ref="I6:R6" si="0">H117</f>
        <v>16396.166666666672</v>
      </c>
      <c r="J6" s="179">
        <f t="shared" si="0"/>
        <v>15981.166666666672</v>
      </c>
      <c r="K6" s="179">
        <f t="shared" si="0"/>
        <v>18319.166666666672</v>
      </c>
      <c r="L6" s="179">
        <f t="shared" si="0"/>
        <v>19973.666666666672</v>
      </c>
      <c r="M6" s="179">
        <f t="shared" si="0"/>
        <v>22441.666666666672</v>
      </c>
      <c r="N6" s="179">
        <f t="shared" si="0"/>
        <v>20954.666666666672</v>
      </c>
      <c r="O6" s="179">
        <f t="shared" si="0"/>
        <v>18837.166666666672</v>
      </c>
      <c r="P6" s="179">
        <f t="shared" si="0"/>
        <v>18105.166666666672</v>
      </c>
      <c r="Q6" s="179">
        <f t="shared" si="0"/>
        <v>20848.166666666672</v>
      </c>
      <c r="R6" s="180">
        <f t="shared" si="0"/>
        <v>19364.666666666672</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7920</v>
      </c>
      <c r="E30" s="291">
        <f t="shared" si="1"/>
        <v>0</v>
      </c>
      <c r="F30" s="291">
        <f>SUM(G30:R30)</f>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6"/>
        <v>63170</v>
      </c>
      <c r="G34" s="112">
        <f>SUM(G29:G33)</f>
        <v>6046</v>
      </c>
      <c r="H34" s="112">
        <f t="shared" ref="H34:R34" si="7">SUM(H29:H33)</f>
        <v>2971</v>
      </c>
      <c r="I34" s="112">
        <f t="shared" si="7"/>
        <v>2971</v>
      </c>
      <c r="J34" s="112">
        <f t="shared" si="7"/>
        <v>6784</v>
      </c>
      <c r="K34" s="112">
        <f t="shared" si="7"/>
        <v>5116</v>
      </c>
      <c r="L34" s="112">
        <f t="shared" si="7"/>
        <v>5854</v>
      </c>
      <c r="M34" s="112">
        <f t="shared" si="7"/>
        <v>6819</v>
      </c>
      <c r="N34" s="112">
        <f t="shared" si="7"/>
        <v>3744</v>
      </c>
      <c r="O34" s="112">
        <f t="shared" si="7"/>
        <v>5854</v>
      </c>
      <c r="P34" s="112">
        <f t="shared" si="7"/>
        <v>8929</v>
      </c>
      <c r="Q34" s="112">
        <f t="shared" si="7"/>
        <v>4378</v>
      </c>
      <c r="R34" s="121">
        <f t="shared" si="7"/>
        <v>3704</v>
      </c>
    </row>
    <row r="35" spans="2:19" s="108" customFormat="1" ht="15.75">
      <c r="B35" s="1025" t="s">
        <v>460</v>
      </c>
      <c r="C35" s="1026"/>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33" t="s">
        <v>344</v>
      </c>
      <c r="C36" s="1034"/>
      <c r="D36" s="702">
        <f>'données éco.'!O31+D30+D31+D32+D33</f>
        <v>66098.75</v>
      </c>
      <c r="E36" s="698">
        <f t="shared" si="8"/>
        <v>-0.25</v>
      </c>
      <c r="F36" s="699">
        <f t="shared" si="6"/>
        <v>66099</v>
      </c>
      <c r="G36" s="138">
        <f>G34+G35</f>
        <v>6290</v>
      </c>
      <c r="H36" s="138">
        <f t="shared" ref="H36:R36" si="10">H34+H35</f>
        <v>3215</v>
      </c>
      <c r="I36" s="138">
        <f t="shared" si="10"/>
        <v>3215</v>
      </c>
      <c r="J36" s="138">
        <f t="shared" si="10"/>
        <v>7028</v>
      </c>
      <c r="K36" s="138">
        <f t="shared" si="10"/>
        <v>5360</v>
      </c>
      <c r="L36" s="138">
        <f t="shared" si="10"/>
        <v>6098</v>
      </c>
      <c r="M36" s="138">
        <f t="shared" si="10"/>
        <v>7063</v>
      </c>
      <c r="N36" s="138">
        <f t="shared" si="10"/>
        <v>3988</v>
      </c>
      <c r="O36" s="138">
        <f t="shared" si="10"/>
        <v>6098</v>
      </c>
      <c r="P36" s="138">
        <f t="shared" si="10"/>
        <v>9173</v>
      </c>
      <c r="Q36" s="138">
        <f t="shared" si="10"/>
        <v>4622</v>
      </c>
      <c r="R36" s="174">
        <f t="shared" si="10"/>
        <v>3949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D52/2</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29" t="s">
        <v>341</v>
      </c>
      <c r="C68" s="1030"/>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18" t="s">
        <v>461</v>
      </c>
      <c r="C69" s="1019"/>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29" t="s">
        <v>340</v>
      </c>
      <c r="C98" s="1030"/>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18" t="s">
        <v>462</v>
      </c>
      <c r="C99" s="1019"/>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22"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2"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48" t="s">
        <v>332</v>
      </c>
      <c r="C110" s="1049"/>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1">$M$110</f>
        <v>2800</v>
      </c>
      <c r="P110" s="412">
        <f t="shared" si="41"/>
        <v>2800</v>
      </c>
      <c r="Q110" s="412">
        <f t="shared" si="41"/>
        <v>2800</v>
      </c>
      <c r="R110" s="412">
        <f t="shared" si="41"/>
        <v>2800</v>
      </c>
      <c r="S110" s="118"/>
    </row>
    <row r="111" spans="2:23" s="108" customFormat="1" ht="16.5" thickBot="1">
      <c r="B111" s="703" t="s">
        <v>486</v>
      </c>
      <c r="C111" s="704"/>
      <c r="D111" s="296">
        <f>'données éco.'!G250</f>
        <v>0</v>
      </c>
      <c r="E111" s="297">
        <f>D111-F111</f>
        <v>0</v>
      </c>
      <c r="F111" s="293">
        <f t="shared" si="38"/>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24085.107428930474</v>
      </c>
      <c r="E112" s="130">
        <f>D112-F112</f>
        <v>0.1074289304742706</v>
      </c>
      <c r="F112" s="130">
        <f>SUM(G112:R112)</f>
        <v>24085</v>
      </c>
      <c r="G112" s="134">
        <f>SUM(G108:G110)-G111</f>
        <v>607</v>
      </c>
      <c r="H112" s="134">
        <f t="shared" ref="H112:R112" si="42">SUM(H108:H110)-H111</f>
        <v>607</v>
      </c>
      <c r="I112" s="134">
        <f t="shared" si="42"/>
        <v>607</v>
      </c>
      <c r="J112" s="134">
        <f t="shared" si="42"/>
        <v>607</v>
      </c>
      <c r="K112" s="134">
        <f t="shared" si="42"/>
        <v>607</v>
      </c>
      <c r="L112" s="134">
        <f t="shared" si="42"/>
        <v>607</v>
      </c>
      <c r="M112" s="134">
        <f t="shared" si="42"/>
        <v>3407</v>
      </c>
      <c r="N112" s="134">
        <f t="shared" si="42"/>
        <v>3407</v>
      </c>
      <c r="O112" s="134">
        <f t="shared" si="42"/>
        <v>3407</v>
      </c>
      <c r="P112" s="134">
        <f t="shared" si="42"/>
        <v>3407</v>
      </c>
      <c r="Q112" s="134">
        <f t="shared" si="42"/>
        <v>3407</v>
      </c>
      <c r="R112" s="135">
        <f t="shared" si="42"/>
        <v>3408</v>
      </c>
      <c r="S112" s="118"/>
      <c r="W112" s="619"/>
    </row>
    <row r="113" spans="2:23" s="108" customFormat="1" ht="16.5" thickBot="1">
      <c r="D113" s="294"/>
      <c r="E113" s="294"/>
      <c r="F113" s="294"/>
      <c r="W113" s="619"/>
    </row>
    <row r="114" spans="2:23" s="136" customFormat="1" ht="26.45" customHeight="1" thickBot="1">
      <c r="B114" s="1016" t="s">
        <v>359</v>
      </c>
      <c r="C114" s="1017"/>
      <c r="D114" s="705">
        <f>D112+D105</f>
        <v>65791.107428930467</v>
      </c>
      <c r="E114" s="130">
        <f>D114-F114</f>
        <v>0.10742893046699464</v>
      </c>
      <c r="F114" s="131">
        <f>SUM(G114:R114)</f>
        <v>65791</v>
      </c>
      <c r="G114" s="140">
        <f t="shared" ref="G114:R114" si="43">G105+G112</f>
        <v>4029.9999999999995</v>
      </c>
      <c r="H114" s="140">
        <f t="shared" si="43"/>
        <v>4690</v>
      </c>
      <c r="I114" s="140">
        <f t="shared" si="43"/>
        <v>3629.9999999999995</v>
      </c>
      <c r="J114" s="140">
        <f t="shared" si="43"/>
        <v>4690</v>
      </c>
      <c r="K114" s="140">
        <f t="shared" si="43"/>
        <v>4029.9999999999995</v>
      </c>
      <c r="L114" s="140">
        <f t="shared" si="43"/>
        <v>3629.9999999999995</v>
      </c>
      <c r="M114" s="140">
        <f t="shared" si="43"/>
        <v>8550</v>
      </c>
      <c r="N114" s="140">
        <f t="shared" si="43"/>
        <v>6430</v>
      </c>
      <c r="O114" s="140">
        <f t="shared" si="43"/>
        <v>6830</v>
      </c>
      <c r="P114" s="140">
        <f t="shared" si="43"/>
        <v>6430</v>
      </c>
      <c r="Q114" s="140">
        <f t="shared" si="43"/>
        <v>6430</v>
      </c>
      <c r="R114" s="175">
        <f t="shared" si="43"/>
        <v>6421</v>
      </c>
      <c r="S114" s="137"/>
      <c r="W114" s="618"/>
    </row>
    <row r="115" spans="2:23" s="108" customFormat="1" ht="16.5" thickBot="1">
      <c r="B115" s="1044" t="s">
        <v>360</v>
      </c>
      <c r="C115" s="1045"/>
      <c r="D115" s="1045"/>
      <c r="E115" s="1045"/>
      <c r="F115" s="1046"/>
      <c r="G115" s="139">
        <f t="shared" ref="G115:R115" si="44">G36-G114</f>
        <v>2260.0000000000005</v>
      </c>
      <c r="H115" s="139">
        <f t="shared" si="44"/>
        <v>-1475</v>
      </c>
      <c r="I115" s="139">
        <f t="shared" si="44"/>
        <v>-414.99999999999955</v>
      </c>
      <c r="J115" s="139">
        <f t="shared" si="44"/>
        <v>2338</v>
      </c>
      <c r="K115" s="139">
        <f t="shared" si="44"/>
        <v>1330.0000000000005</v>
      </c>
      <c r="L115" s="139">
        <f t="shared" si="44"/>
        <v>2468.0000000000005</v>
      </c>
      <c r="M115" s="139">
        <f t="shared" si="44"/>
        <v>-1487</v>
      </c>
      <c r="N115" s="139">
        <f t="shared" si="44"/>
        <v>-2442</v>
      </c>
      <c r="O115" s="139">
        <f t="shared" si="44"/>
        <v>-732</v>
      </c>
      <c r="P115" s="139">
        <f t="shared" si="44"/>
        <v>2743</v>
      </c>
      <c r="Q115" s="139">
        <f t="shared" si="44"/>
        <v>-1808</v>
      </c>
      <c r="R115" s="176">
        <f t="shared" si="44"/>
        <v>-2472</v>
      </c>
      <c r="S115" s="118"/>
    </row>
    <row r="116" spans="2:23" s="108" customFormat="1" ht="18.75" thickBot="1">
      <c r="B116" s="617" t="s">
        <v>464</v>
      </c>
      <c r="C116" s="689" t="s">
        <v>520</v>
      </c>
      <c r="D116" s="706">
        <f>'données TK'!E5</f>
        <v>1</v>
      </c>
      <c r="E116" s="130"/>
      <c r="F116" s="182">
        <f>SUM(G116:R116)</f>
        <v>1445.1666666666665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471.66666666666663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4" t="s">
        <v>487</v>
      </c>
      <c r="C117" s="1015"/>
      <c r="D117" s="1015"/>
      <c r="E117" s="1015"/>
      <c r="F117" s="1047"/>
      <c r="G117" s="141">
        <f t="shared" ref="G117:R117" si="45">IF(G116="",G6+G115,G6+G115+G116)</f>
        <v>17399.500000000004</v>
      </c>
      <c r="H117" s="141">
        <f t="shared" si="45"/>
        <v>16396.166666666672</v>
      </c>
      <c r="I117" s="141">
        <f t="shared" si="45"/>
        <v>15981.166666666672</v>
      </c>
      <c r="J117" s="141">
        <f t="shared" si="45"/>
        <v>18319.166666666672</v>
      </c>
      <c r="K117" s="141">
        <f t="shared" si="45"/>
        <v>19973.666666666672</v>
      </c>
      <c r="L117" s="141">
        <f t="shared" si="45"/>
        <v>22441.666666666672</v>
      </c>
      <c r="M117" s="141">
        <f t="shared" si="45"/>
        <v>20954.666666666672</v>
      </c>
      <c r="N117" s="141">
        <f t="shared" si="45"/>
        <v>18837.166666666672</v>
      </c>
      <c r="O117" s="141">
        <f t="shared" si="45"/>
        <v>18105.166666666672</v>
      </c>
      <c r="P117" s="141">
        <f t="shared" si="45"/>
        <v>20848.166666666672</v>
      </c>
      <c r="Q117" s="141">
        <f t="shared" si="45"/>
        <v>19364.666666666672</v>
      </c>
      <c r="R117" s="141">
        <f t="shared" si="45"/>
        <v>16892.666666666672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9" activePane="bottomRight" state="frozen"/>
      <selection activeCell="R29" sqref="R29"/>
      <selection pane="topRight" activeCell="R29" sqref="R29"/>
      <selection pane="bottomLeft" activeCell="R29" sqref="R29"/>
      <selection pane="bottomRight" activeCell="M53" sqref="M53"/>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406</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N+1'!R117</f>
        <v>16892.666666666672</v>
      </c>
      <c r="H6" s="179">
        <f>G117</f>
        <v>16849.833333333339</v>
      </c>
      <c r="I6" s="179">
        <f t="shared" ref="I6:R6" si="0">H117</f>
        <v>12481.333333333339</v>
      </c>
      <c r="J6" s="179">
        <f t="shared" si="0"/>
        <v>11000.500000000007</v>
      </c>
      <c r="K6" s="179">
        <f t="shared" si="0"/>
        <v>13327.666666666673</v>
      </c>
      <c r="L6" s="179">
        <f t="shared" si="0"/>
        <v>13711.833333333339</v>
      </c>
      <c r="M6" s="179">
        <f t="shared" si="0"/>
        <v>15132.000000000007</v>
      </c>
      <c r="N6" s="179">
        <f t="shared" si="0"/>
        <v>15805.166666666673</v>
      </c>
      <c r="O6" s="179">
        <f t="shared" si="0"/>
        <v>14765.333333333339</v>
      </c>
      <c r="P6" s="179">
        <f t="shared" si="0"/>
        <v>15653.500000000007</v>
      </c>
      <c r="Q6" s="179">
        <f t="shared" si="0"/>
        <v>19040.666666666675</v>
      </c>
      <c r="R6" s="180">
        <f t="shared" si="0"/>
        <v>15694.833333333343</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7920</v>
      </c>
      <c r="E30" s="291">
        <f t="shared" si="1"/>
        <v>0</v>
      </c>
      <c r="F30" s="291">
        <f t="shared" si="2"/>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80920</v>
      </c>
      <c r="G34" s="112">
        <f>SUM(G29:G33)</f>
        <v>7060</v>
      </c>
      <c r="H34" s="112">
        <f t="shared" ref="H34:R34" si="6">SUM(H29:H33)</f>
        <v>2960</v>
      </c>
      <c r="I34" s="112">
        <f t="shared" si="6"/>
        <v>5092</v>
      </c>
      <c r="J34" s="112">
        <f t="shared" si="6"/>
        <v>9960</v>
      </c>
      <c r="K34" s="112">
        <f t="shared" si="6"/>
        <v>7224</v>
      </c>
      <c r="L34" s="112">
        <f t="shared" si="6"/>
        <v>7993</v>
      </c>
      <c r="M34" s="112">
        <f t="shared" si="6"/>
        <v>9366</v>
      </c>
      <c r="N34" s="112">
        <f t="shared" si="6"/>
        <v>5266</v>
      </c>
      <c r="O34" s="112">
        <f t="shared" si="6"/>
        <v>7993</v>
      </c>
      <c r="P34" s="112">
        <f t="shared" si="6"/>
        <v>9960</v>
      </c>
      <c r="Q34" s="112">
        <f t="shared" si="6"/>
        <v>2960</v>
      </c>
      <c r="R34" s="121">
        <f t="shared" si="6"/>
        <v>5086</v>
      </c>
    </row>
    <row r="35" spans="2:19" s="108" customFormat="1" ht="15.75">
      <c r="B35" s="1025" t="s">
        <v>460</v>
      </c>
      <c r="C35" s="1026"/>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33" t="s">
        <v>344</v>
      </c>
      <c r="C36" s="1034"/>
      <c r="D36" s="702">
        <f>'données éco.'!T31+D30+D31+D32+D33</f>
        <v>84825</v>
      </c>
      <c r="E36" s="698">
        <f t="shared" si="7"/>
        <v>0</v>
      </c>
      <c r="F36" s="698">
        <f t="shared" si="2"/>
        <v>84825</v>
      </c>
      <c r="G36" s="138">
        <f>G34+G35</f>
        <v>7385</v>
      </c>
      <c r="H36" s="138">
        <f t="shared" ref="H36:R36" si="9">H34+H35</f>
        <v>3285</v>
      </c>
      <c r="I36" s="138">
        <f t="shared" si="9"/>
        <v>5417</v>
      </c>
      <c r="J36" s="138">
        <f t="shared" si="9"/>
        <v>10285</v>
      </c>
      <c r="K36" s="138">
        <f t="shared" si="9"/>
        <v>7549</v>
      </c>
      <c r="L36" s="138">
        <f t="shared" si="9"/>
        <v>8318</v>
      </c>
      <c r="M36" s="138">
        <f t="shared" si="9"/>
        <v>9691</v>
      </c>
      <c r="N36" s="138">
        <f t="shared" si="9"/>
        <v>5591</v>
      </c>
      <c r="O36" s="138">
        <f t="shared" si="9"/>
        <v>8318</v>
      </c>
      <c r="P36" s="138">
        <f t="shared" si="9"/>
        <v>10285</v>
      </c>
      <c r="Q36" s="138">
        <f t="shared" si="9"/>
        <v>3285</v>
      </c>
      <c r="R36" s="174">
        <f t="shared" si="9"/>
        <v>5416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29" t="s">
        <v>341</v>
      </c>
      <c r="C68" s="1030"/>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18" t="s">
        <v>461</v>
      </c>
      <c r="C69" s="1019"/>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29" t="s">
        <v>340</v>
      </c>
      <c r="C98" s="1030"/>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18" t="s">
        <v>462</v>
      </c>
      <c r="C99" s="1019"/>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22"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24"/>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7" t="s">
        <v>358</v>
      </c>
      <c r="C105" s="1028"/>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4"/>
      <c r="C109" s="125" t="s">
        <v>466</v>
      </c>
      <c r="D109" s="293">
        <f>Annuités!O104</f>
        <v>7285.1074289304761</v>
      </c>
      <c r="E109" s="293">
        <f>D109-F109</f>
        <v>0.10742893047608959</v>
      </c>
      <c r="F109" s="293">
        <f t="shared" si="34"/>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75">
      <c r="B110" s="1048" t="s">
        <v>332</v>
      </c>
      <c r="C110" s="1049"/>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0</v>
      </c>
      <c r="E111" s="297">
        <f>D111-F111</f>
        <v>0</v>
      </c>
      <c r="F111" s="293">
        <f t="shared" si="34"/>
        <v>0</v>
      </c>
      <c r="G111" s="418">
        <f>D111</f>
        <v>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40885.107428930474</v>
      </c>
      <c r="E112" s="130">
        <f>D112-F112</f>
        <v>0.1074289304742706</v>
      </c>
      <c r="F112" s="130">
        <f t="shared" si="34"/>
        <v>40885</v>
      </c>
      <c r="G112" s="134">
        <f>SUM(G108:G110)-G111</f>
        <v>3407</v>
      </c>
      <c r="H112" s="134">
        <f t="shared" ref="H112:R112" si="37">SUM(H108:H110)-H111</f>
        <v>3407</v>
      </c>
      <c r="I112" s="134">
        <f t="shared" si="37"/>
        <v>3407</v>
      </c>
      <c r="J112" s="134">
        <f t="shared" si="37"/>
        <v>3407</v>
      </c>
      <c r="K112" s="134">
        <f t="shared" si="37"/>
        <v>3407</v>
      </c>
      <c r="L112" s="134">
        <f t="shared" si="37"/>
        <v>3407</v>
      </c>
      <c r="M112" s="134">
        <f t="shared" si="37"/>
        <v>3407</v>
      </c>
      <c r="N112" s="134">
        <f t="shared" si="37"/>
        <v>3407</v>
      </c>
      <c r="O112" s="134">
        <f t="shared" si="37"/>
        <v>3407</v>
      </c>
      <c r="P112" s="134">
        <f t="shared" si="37"/>
        <v>3407</v>
      </c>
      <c r="Q112" s="134">
        <f t="shared" si="37"/>
        <v>3407</v>
      </c>
      <c r="R112" s="135">
        <f t="shared" si="37"/>
        <v>3408</v>
      </c>
      <c r="S112" s="118"/>
    </row>
    <row r="113" spans="2:21" s="108" customFormat="1" ht="15.75" thickBot="1">
      <c r="D113" s="294"/>
      <c r="E113" s="294"/>
      <c r="F113" s="294"/>
    </row>
    <row r="114" spans="2:21" s="136" customFormat="1" ht="26.45" customHeight="1" thickBot="1">
      <c r="B114" s="1016" t="s">
        <v>359</v>
      </c>
      <c r="C114" s="1017"/>
      <c r="D114" s="705">
        <f>D112+D105</f>
        <v>88613.107428930467</v>
      </c>
      <c r="E114" s="130">
        <f>D114-F114</f>
        <v>0.10742893046699464</v>
      </c>
      <c r="F114" s="131">
        <f>SUM(G114:R114)</f>
        <v>88613</v>
      </c>
      <c r="G114" s="140">
        <f>G105+G112</f>
        <v>7427.833333333333</v>
      </c>
      <c r="H114" s="140">
        <f t="shared" ref="H114:R114" si="38">H105+H112</f>
        <v>7957.8333333333339</v>
      </c>
      <c r="I114" s="140">
        <f t="shared" si="38"/>
        <v>6897.833333333333</v>
      </c>
      <c r="J114" s="140">
        <f t="shared" si="38"/>
        <v>7957.8333333333339</v>
      </c>
      <c r="K114" s="140">
        <f t="shared" si="38"/>
        <v>7431.833333333333</v>
      </c>
      <c r="L114" s="140">
        <f t="shared" si="38"/>
        <v>6897.833333333333</v>
      </c>
      <c r="M114" s="140">
        <f t="shared" si="38"/>
        <v>9017.8333333333339</v>
      </c>
      <c r="N114" s="140">
        <f t="shared" si="38"/>
        <v>6897.833333333333</v>
      </c>
      <c r="O114" s="140">
        <f t="shared" si="38"/>
        <v>7429.833333333333</v>
      </c>
      <c r="P114" s="140">
        <f t="shared" si="38"/>
        <v>6897.833333333333</v>
      </c>
      <c r="Q114" s="140">
        <f t="shared" si="38"/>
        <v>6897.833333333333</v>
      </c>
      <c r="R114" s="175">
        <f t="shared" si="38"/>
        <v>6900.833333333333</v>
      </c>
      <c r="S114" s="137"/>
    </row>
    <row r="115" spans="2:21" s="108" customFormat="1" ht="16.5" thickBot="1">
      <c r="B115" s="1044" t="s">
        <v>360</v>
      </c>
      <c r="C115" s="1045"/>
      <c r="D115" s="1045"/>
      <c r="E115" s="1045"/>
      <c r="F115" s="1046"/>
      <c r="G115" s="139">
        <f>G36-G114</f>
        <v>-42.83333333333303</v>
      </c>
      <c r="H115" s="139">
        <f t="shared" ref="H115:R115" si="39">H36-H114</f>
        <v>-4672.8333333333339</v>
      </c>
      <c r="I115" s="139">
        <f t="shared" si="39"/>
        <v>-1480.833333333333</v>
      </c>
      <c r="J115" s="139">
        <f t="shared" si="39"/>
        <v>2327.1666666666661</v>
      </c>
      <c r="K115" s="139">
        <f t="shared" si="39"/>
        <v>117.16666666666697</v>
      </c>
      <c r="L115" s="139">
        <f t="shared" si="39"/>
        <v>1420.166666666667</v>
      </c>
      <c r="M115" s="139">
        <f t="shared" si="39"/>
        <v>673.16666666666606</v>
      </c>
      <c r="N115" s="139">
        <f t="shared" si="39"/>
        <v>-1306.833333333333</v>
      </c>
      <c r="O115" s="139">
        <f t="shared" si="39"/>
        <v>888.16666666666697</v>
      </c>
      <c r="P115" s="139">
        <f t="shared" si="39"/>
        <v>3387.166666666667</v>
      </c>
      <c r="Q115" s="139">
        <f t="shared" si="39"/>
        <v>-3612.833333333333</v>
      </c>
      <c r="R115" s="176">
        <f t="shared" si="39"/>
        <v>-1484.833333333333</v>
      </c>
      <c r="S115" s="118"/>
    </row>
    <row r="116" spans="2:21" s="108" customFormat="1" ht="18.75" thickBot="1">
      <c r="B116" s="617" t="s">
        <v>464</v>
      </c>
      <c r="C116" s="689" t="s">
        <v>520</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4" t="s">
        <v>487</v>
      </c>
      <c r="C117" s="1015"/>
      <c r="D117" s="1015"/>
      <c r="E117" s="1015"/>
      <c r="F117" s="1047"/>
      <c r="G117" s="141">
        <f>IF(G116="",G6+G115,G6+G115+G116)</f>
        <v>16849.833333333339</v>
      </c>
      <c r="H117" s="141">
        <f t="shared" ref="H117:R117" si="40">IF(H116="",H6+H115,H6+H115+H116)</f>
        <v>12481.333333333339</v>
      </c>
      <c r="I117" s="141">
        <f t="shared" si="40"/>
        <v>11000.500000000007</v>
      </c>
      <c r="J117" s="141">
        <f t="shared" si="40"/>
        <v>13327.666666666673</v>
      </c>
      <c r="K117" s="141">
        <f t="shared" si="40"/>
        <v>13711.833333333339</v>
      </c>
      <c r="L117" s="141">
        <f t="shared" si="40"/>
        <v>15132.000000000007</v>
      </c>
      <c r="M117" s="141">
        <f t="shared" si="40"/>
        <v>15805.166666666673</v>
      </c>
      <c r="N117" s="141">
        <f t="shared" si="40"/>
        <v>14765.333333333339</v>
      </c>
      <c r="O117" s="141">
        <f t="shared" si="40"/>
        <v>15653.500000000007</v>
      </c>
      <c r="P117" s="141">
        <f t="shared" si="40"/>
        <v>19040.666666666675</v>
      </c>
      <c r="Q117" s="141">
        <f t="shared" si="40"/>
        <v>15694.833333333343</v>
      </c>
      <c r="R117" s="141">
        <f t="shared" si="40"/>
        <v>14210.000000000011</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M53" sqref="M53"/>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408</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N+2'!R117</f>
        <v>14210.000000000011</v>
      </c>
      <c r="H6" s="179">
        <f>G117</f>
        <v>15200.333333333343</v>
      </c>
      <c r="I6" s="179">
        <f t="shared" ref="I6:R6" si="0">H117</f>
        <v>10914.500000000009</v>
      </c>
      <c r="J6" s="179">
        <f t="shared" si="0"/>
        <v>10111.833333333343</v>
      </c>
      <c r="K6" s="179">
        <f t="shared" si="0"/>
        <v>14335.166666666675</v>
      </c>
      <c r="L6" s="179">
        <f t="shared" si="0"/>
        <v>15738.000000000007</v>
      </c>
      <c r="M6" s="179">
        <f t="shared" si="0"/>
        <v>18562.333333333343</v>
      </c>
      <c r="N6" s="179">
        <f t="shared" si="0"/>
        <v>20982.666666666675</v>
      </c>
      <c r="O6" s="179">
        <f t="shared" si="0"/>
        <v>20604.500000000007</v>
      </c>
      <c r="P6" s="179">
        <f t="shared" si="0"/>
        <v>22762.833333333339</v>
      </c>
      <c r="Q6" s="179">
        <f t="shared" si="0"/>
        <v>28046.166666666672</v>
      </c>
      <c r="R6" s="180">
        <f t="shared" si="0"/>
        <v>24785.000000000007</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Fraises</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7920</v>
      </c>
      <c r="E30" s="291">
        <f t="shared" si="1"/>
        <v>0</v>
      </c>
      <c r="F30" s="291">
        <f t="shared" si="2"/>
        <v>7920</v>
      </c>
      <c r="G30" s="410">
        <f>D30/12</f>
        <v>660</v>
      </c>
      <c r="H30" s="410">
        <f>$G$30</f>
        <v>660</v>
      </c>
      <c r="I30" s="410">
        <f t="shared" ref="I30:R30" si="6">$G$30</f>
        <v>660</v>
      </c>
      <c r="J30" s="410">
        <f t="shared" si="6"/>
        <v>660</v>
      </c>
      <c r="K30" s="410">
        <f t="shared" si="6"/>
        <v>660</v>
      </c>
      <c r="L30" s="410">
        <f t="shared" si="6"/>
        <v>660</v>
      </c>
      <c r="M30" s="410">
        <f t="shared" si="6"/>
        <v>660</v>
      </c>
      <c r="N30" s="410">
        <f t="shared" si="6"/>
        <v>660</v>
      </c>
      <c r="O30" s="410">
        <f t="shared" si="6"/>
        <v>660</v>
      </c>
      <c r="P30" s="410">
        <f t="shared" si="6"/>
        <v>660</v>
      </c>
      <c r="Q30" s="410">
        <f t="shared" si="6"/>
        <v>660</v>
      </c>
      <c r="R30" s="410">
        <f t="shared" si="6"/>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7">SUM(H29:H33)</f>
        <v>3493</v>
      </c>
      <c r="I34" s="112">
        <f t="shared" si="7"/>
        <v>6158</v>
      </c>
      <c r="J34" s="112">
        <f t="shared" si="7"/>
        <v>12244</v>
      </c>
      <c r="K34" s="112">
        <f t="shared" si="7"/>
        <v>8824</v>
      </c>
      <c r="L34" s="112">
        <f t="shared" si="7"/>
        <v>9785</v>
      </c>
      <c r="M34" s="112">
        <f t="shared" si="7"/>
        <v>11501</v>
      </c>
      <c r="N34" s="112">
        <f t="shared" si="7"/>
        <v>6376</v>
      </c>
      <c r="O34" s="112">
        <f t="shared" si="7"/>
        <v>9785</v>
      </c>
      <c r="P34" s="112">
        <f t="shared" si="7"/>
        <v>12244</v>
      </c>
      <c r="Q34" s="112">
        <f t="shared" si="7"/>
        <v>3493</v>
      </c>
      <c r="R34" s="121">
        <f t="shared" si="7"/>
        <v>6149</v>
      </c>
    </row>
    <row r="35" spans="2:19" s="108" customFormat="1" ht="15.75">
      <c r="B35" s="1025" t="s">
        <v>460</v>
      </c>
      <c r="C35" s="1026"/>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33" t="s">
        <v>344</v>
      </c>
      <c r="C36" s="1034"/>
      <c r="D36" s="702">
        <f>'données éco.'!Y31+D30+D31+D32+D33</f>
        <v>103551.25</v>
      </c>
      <c r="E36" s="698">
        <f t="shared" si="8"/>
        <v>0.25</v>
      </c>
      <c r="F36" s="698">
        <f t="shared" si="2"/>
        <v>103551</v>
      </c>
      <c r="G36" s="138">
        <f>G34+G35</f>
        <v>9025</v>
      </c>
      <c r="H36" s="138">
        <f t="shared" ref="H36:R36" si="10">H34+H35</f>
        <v>3900</v>
      </c>
      <c r="I36" s="138">
        <f t="shared" si="10"/>
        <v>6565</v>
      </c>
      <c r="J36" s="138">
        <f t="shared" si="10"/>
        <v>12651</v>
      </c>
      <c r="K36" s="138">
        <f t="shared" si="10"/>
        <v>9231</v>
      </c>
      <c r="L36" s="138">
        <f t="shared" si="10"/>
        <v>10192</v>
      </c>
      <c r="M36" s="138">
        <f t="shared" si="10"/>
        <v>11908</v>
      </c>
      <c r="N36" s="138">
        <f t="shared" si="10"/>
        <v>6783</v>
      </c>
      <c r="O36" s="138">
        <f t="shared" si="10"/>
        <v>10192</v>
      </c>
      <c r="P36" s="138">
        <f t="shared" si="10"/>
        <v>12651</v>
      </c>
      <c r="Q36" s="138">
        <f t="shared" si="10"/>
        <v>3900</v>
      </c>
      <c r="R36" s="174">
        <f t="shared" si="10"/>
        <v>6553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18" t="s">
        <v>461</v>
      </c>
      <c r="C69" s="1019"/>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18" t="s">
        <v>462</v>
      </c>
      <c r="C99" s="1019"/>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22"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293">
        <f>Annuités!R104</f>
        <v>7285.1074289304761</v>
      </c>
      <c r="E109" s="293">
        <f>D109-F109</f>
        <v>0.10742893047608959</v>
      </c>
      <c r="F109" s="293">
        <f t="shared" ref="F109:F112" si="3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48" t="s">
        <v>332</v>
      </c>
      <c r="C110" s="1049"/>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486</v>
      </c>
      <c r="C111" s="704"/>
      <c r="D111" s="296">
        <f>'données éco.'!K250</f>
        <v>0</v>
      </c>
      <c r="E111" s="297">
        <f>D111-F111</f>
        <v>0</v>
      </c>
      <c r="F111" s="293">
        <f t="shared" si="3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40885.107428930474</v>
      </c>
      <c r="E112" s="130">
        <f>D112-F112</f>
        <v>0.1074289304742706</v>
      </c>
      <c r="F112" s="130">
        <f t="shared" si="34"/>
        <v>40885</v>
      </c>
      <c r="G112" s="134">
        <f>SUM(G108:G110)-G111</f>
        <v>3407</v>
      </c>
      <c r="H112" s="134">
        <f t="shared" ref="H112:R112" si="35">SUM(H108:H110)-H111</f>
        <v>3407</v>
      </c>
      <c r="I112" s="134">
        <f t="shared" si="35"/>
        <v>3407</v>
      </c>
      <c r="J112" s="134">
        <f t="shared" si="35"/>
        <v>3407</v>
      </c>
      <c r="K112" s="134">
        <f t="shared" si="35"/>
        <v>3407</v>
      </c>
      <c r="L112" s="134">
        <f t="shared" si="35"/>
        <v>3407</v>
      </c>
      <c r="M112" s="134">
        <f t="shared" si="35"/>
        <v>3407</v>
      </c>
      <c r="N112" s="134">
        <f t="shared" si="35"/>
        <v>3407</v>
      </c>
      <c r="O112" s="134">
        <f t="shared" si="35"/>
        <v>3407</v>
      </c>
      <c r="P112" s="134">
        <f t="shared" si="35"/>
        <v>3407</v>
      </c>
      <c r="Q112" s="134">
        <f t="shared" si="35"/>
        <v>3407</v>
      </c>
      <c r="R112" s="135">
        <f t="shared" si="35"/>
        <v>3408</v>
      </c>
      <c r="S112" s="118"/>
      <c r="W112" s="619"/>
    </row>
    <row r="113" spans="2:23" s="108" customFormat="1" ht="16.5" thickBot="1">
      <c r="D113" s="294"/>
      <c r="E113" s="294"/>
      <c r="F113" s="294"/>
      <c r="W113" s="619"/>
    </row>
    <row r="114" spans="2:23" s="136" customFormat="1" ht="26.45" customHeight="1" thickBot="1">
      <c r="B114" s="1016" t="s">
        <v>359</v>
      </c>
      <c r="C114" s="1017"/>
      <c r="D114" s="705">
        <f>D112+D105</f>
        <v>94635.107428930467</v>
      </c>
      <c r="E114" s="130">
        <f>D114-F114</f>
        <v>0.10742893045244273</v>
      </c>
      <c r="F114" s="131">
        <f>SUM(G114:R114)</f>
        <v>94635.000000000015</v>
      </c>
      <c r="G114" s="140">
        <f>G105+G112</f>
        <v>8034.666666666667</v>
      </c>
      <c r="H114" s="140">
        <f t="shared" ref="H114:R114" si="36">H105+H112</f>
        <v>8427.6666666666679</v>
      </c>
      <c r="I114" s="140">
        <f t="shared" si="36"/>
        <v>7367.6666666666661</v>
      </c>
      <c r="J114" s="140">
        <f t="shared" si="36"/>
        <v>8427.6666666666679</v>
      </c>
      <c r="K114" s="140">
        <f t="shared" si="36"/>
        <v>8034.666666666667</v>
      </c>
      <c r="L114" s="140">
        <f t="shared" si="36"/>
        <v>7367.6666666666661</v>
      </c>
      <c r="M114" s="140">
        <f t="shared" si="36"/>
        <v>9487.6666666666679</v>
      </c>
      <c r="N114" s="140">
        <f t="shared" si="36"/>
        <v>7367.6666666666661</v>
      </c>
      <c r="O114" s="140">
        <f t="shared" si="36"/>
        <v>8033.666666666667</v>
      </c>
      <c r="P114" s="140">
        <f t="shared" si="36"/>
        <v>7367.6666666666661</v>
      </c>
      <c r="Q114" s="140">
        <f t="shared" si="36"/>
        <v>7367.6666666666661</v>
      </c>
      <c r="R114" s="175">
        <f t="shared" si="36"/>
        <v>7350.6666666666661</v>
      </c>
      <c r="S114" s="137"/>
      <c r="W114" s="618"/>
    </row>
    <row r="115" spans="2:23" s="108" customFormat="1" ht="16.5" thickBot="1">
      <c r="B115" s="1014" t="s">
        <v>360</v>
      </c>
      <c r="C115" s="1015"/>
      <c r="D115" s="1015"/>
      <c r="E115" s="1015"/>
      <c r="F115" s="1047"/>
      <c r="G115" s="139">
        <f t="shared" ref="G115:R115" si="37">G36-G114</f>
        <v>990.33333333333303</v>
      </c>
      <c r="H115" s="139">
        <f t="shared" si="37"/>
        <v>-4527.6666666666679</v>
      </c>
      <c r="I115" s="139">
        <f t="shared" si="37"/>
        <v>-802.66666666666606</v>
      </c>
      <c r="J115" s="139">
        <f t="shared" si="37"/>
        <v>4223.3333333333321</v>
      </c>
      <c r="K115" s="139">
        <f t="shared" si="37"/>
        <v>1196.333333333333</v>
      </c>
      <c r="L115" s="139">
        <f t="shared" si="37"/>
        <v>2824.3333333333339</v>
      </c>
      <c r="M115" s="139">
        <f t="shared" si="37"/>
        <v>2420.3333333333321</v>
      </c>
      <c r="N115" s="139">
        <f t="shared" si="37"/>
        <v>-584.66666666666606</v>
      </c>
      <c r="O115" s="139">
        <f t="shared" si="37"/>
        <v>2158.333333333333</v>
      </c>
      <c r="P115" s="139">
        <f t="shared" si="37"/>
        <v>5283.3333333333339</v>
      </c>
      <c r="Q115" s="139">
        <f t="shared" si="37"/>
        <v>-3467.6666666666661</v>
      </c>
      <c r="R115" s="176">
        <f t="shared" si="37"/>
        <v>-797.66666666666606</v>
      </c>
      <c r="S115" s="118"/>
    </row>
    <row r="116" spans="2:23" s="108" customFormat="1" ht="18.75" thickBot="1">
      <c r="B116" s="617" t="s">
        <v>464</v>
      </c>
      <c r="C116" s="689" t="s">
        <v>520</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4" t="s">
        <v>487</v>
      </c>
      <c r="C117" s="1015"/>
      <c r="D117" s="1015"/>
      <c r="E117" s="1015"/>
      <c r="F117" s="1047"/>
      <c r="G117" s="141">
        <f>IF(G116="",G6+G115,G6+G115+G116)</f>
        <v>15200.333333333343</v>
      </c>
      <c r="H117" s="141">
        <f t="shared" ref="H117:R117" si="38">IF(H116="",H6+H115,H6+H115+H116)</f>
        <v>10914.500000000009</v>
      </c>
      <c r="I117" s="141">
        <f t="shared" si="38"/>
        <v>10111.833333333343</v>
      </c>
      <c r="J117" s="141">
        <f t="shared" si="38"/>
        <v>14335.166666666675</v>
      </c>
      <c r="K117" s="141">
        <f t="shared" si="38"/>
        <v>15738.000000000007</v>
      </c>
      <c r="L117" s="141">
        <f t="shared" si="38"/>
        <v>18562.333333333343</v>
      </c>
      <c r="M117" s="141">
        <f t="shared" si="38"/>
        <v>20982.666666666675</v>
      </c>
      <c r="N117" s="141">
        <f t="shared" si="38"/>
        <v>20604.500000000007</v>
      </c>
      <c r="O117" s="141">
        <f t="shared" si="38"/>
        <v>22762.833333333339</v>
      </c>
      <c r="P117" s="141">
        <f t="shared" si="38"/>
        <v>28046.166666666672</v>
      </c>
      <c r="Q117" s="141">
        <f t="shared" si="38"/>
        <v>24785.000000000007</v>
      </c>
      <c r="R117" s="141">
        <f t="shared" si="38"/>
        <v>23987.333333333343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97" activePane="bottomRight" state="frozen"/>
      <selection activeCell="R29" sqref="R29"/>
      <selection pane="topRight" activeCell="R29" sqref="R29"/>
      <selection pane="bottomLeft" activeCell="R29" sqref="R29"/>
      <selection pane="bottomRight" activeCell="M52" sqref="M52"/>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409</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N+3'!R117</f>
        <v>23987.333333333343</v>
      </c>
      <c r="H6" s="179">
        <f>G117</f>
        <v>23290.354166666675</v>
      </c>
      <c r="I6" s="179">
        <f t="shared" ref="I6:R6" si="0">H117</f>
        <v>18267.520833333339</v>
      </c>
      <c r="J6" s="179">
        <f t="shared" si="0"/>
        <v>18857.541666666672</v>
      </c>
      <c r="K6" s="179">
        <f t="shared" si="0"/>
        <v>25533.562500000004</v>
      </c>
      <c r="L6" s="179">
        <f t="shared" si="0"/>
        <v>28097.020833333336</v>
      </c>
      <c r="M6" s="179">
        <f t="shared" si="0"/>
        <v>31464.041666666668</v>
      </c>
      <c r="N6" s="179">
        <f t="shared" si="0"/>
        <v>35697.0625</v>
      </c>
      <c r="O6" s="179">
        <f t="shared" si="0"/>
        <v>33399.520833333336</v>
      </c>
      <c r="P6" s="179">
        <f t="shared" si="0"/>
        <v>33870.541666666672</v>
      </c>
      <c r="Q6" s="179">
        <f t="shared" si="0"/>
        <v>37466.5625</v>
      </c>
      <c r="R6" s="180">
        <f t="shared" si="0"/>
        <v>32286.020833333332</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Fraises</v>
      </c>
      <c r="D11" s="291">
        <f>'données éco.'!AC13</f>
        <v>15400</v>
      </c>
      <c r="E11" s="291">
        <f t="shared" si="1"/>
        <v>0</v>
      </c>
      <c r="F11" s="291">
        <f t="shared" si="2"/>
        <v>15400</v>
      </c>
      <c r="G11" s="410"/>
      <c r="H11" s="410"/>
      <c r="I11" s="410">
        <f>D11/5</f>
        <v>3080</v>
      </c>
      <c r="J11" s="410">
        <f>$I$11</f>
        <v>3080</v>
      </c>
      <c r="K11" s="410">
        <f t="shared" ref="K11:M11" si="3">$I$11</f>
        <v>3080</v>
      </c>
      <c r="L11" s="410">
        <f t="shared" si="3"/>
        <v>3080</v>
      </c>
      <c r="M11" s="410">
        <f t="shared" si="3"/>
        <v>3080</v>
      </c>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éco.'!AC31</f>
        <v>106150</v>
      </c>
      <c r="E29" s="696">
        <f t="shared" si="1"/>
        <v>0</v>
      </c>
      <c r="F29" s="696">
        <f t="shared" si="2"/>
        <v>106150</v>
      </c>
      <c r="G29" s="112">
        <f t="shared" ref="G29:R29" si="4">SUM(G7:G28)</f>
        <v>7958</v>
      </c>
      <c r="H29" s="112">
        <f t="shared" si="4"/>
        <v>2833</v>
      </c>
      <c r="I29" s="112">
        <f t="shared" si="4"/>
        <v>8578</v>
      </c>
      <c r="J29" s="112">
        <f t="shared" si="4"/>
        <v>14664</v>
      </c>
      <c r="K29" s="112">
        <f t="shared" si="4"/>
        <v>11244</v>
      </c>
      <c r="L29" s="112">
        <f t="shared" si="4"/>
        <v>12205</v>
      </c>
      <c r="M29" s="112">
        <f t="shared" si="4"/>
        <v>13921</v>
      </c>
      <c r="N29" s="112">
        <f t="shared" si="4"/>
        <v>5716</v>
      </c>
      <c r="O29" s="112">
        <f t="shared" si="4"/>
        <v>9125</v>
      </c>
      <c r="P29" s="112">
        <f t="shared" si="4"/>
        <v>11584</v>
      </c>
      <c r="Q29" s="112">
        <f t="shared" si="4"/>
        <v>2833</v>
      </c>
      <c r="R29" s="121">
        <f t="shared" si="4"/>
        <v>5489</v>
      </c>
    </row>
    <row r="30" spans="2:18" s="108" customFormat="1" ht="15.75">
      <c r="B30" s="609" t="s">
        <v>458</v>
      </c>
      <c r="C30" s="610"/>
      <c r="D30" s="291">
        <f>'données éco.'!M246</f>
        <v>10170</v>
      </c>
      <c r="E30" s="291">
        <f t="shared" si="1"/>
        <v>0</v>
      </c>
      <c r="F30" s="291">
        <f t="shared" si="2"/>
        <v>10170</v>
      </c>
      <c r="G30" s="410">
        <f>D30/12</f>
        <v>847.5</v>
      </c>
      <c r="H30" s="410">
        <f>$G$30</f>
        <v>847.5</v>
      </c>
      <c r="I30" s="410">
        <f t="shared" ref="I30:R30" si="5">$G$30</f>
        <v>847.5</v>
      </c>
      <c r="J30" s="410">
        <f t="shared" si="5"/>
        <v>847.5</v>
      </c>
      <c r="K30" s="410">
        <f t="shared" si="5"/>
        <v>847.5</v>
      </c>
      <c r="L30" s="410">
        <f t="shared" si="5"/>
        <v>847.5</v>
      </c>
      <c r="M30" s="410">
        <f t="shared" si="5"/>
        <v>847.5</v>
      </c>
      <c r="N30" s="410">
        <f t="shared" si="5"/>
        <v>847.5</v>
      </c>
      <c r="O30" s="410">
        <f t="shared" si="5"/>
        <v>847.5</v>
      </c>
      <c r="P30" s="410">
        <f t="shared" si="5"/>
        <v>847.5</v>
      </c>
      <c r="Q30" s="410">
        <f t="shared" si="5"/>
        <v>847.5</v>
      </c>
      <c r="R30" s="410">
        <f t="shared" si="5"/>
        <v>847.5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116320</v>
      </c>
      <c r="G34" s="112">
        <f>SUM(G29:G33)</f>
        <v>8805.5</v>
      </c>
      <c r="H34" s="112">
        <f t="shared" ref="H34:R34" si="6">SUM(H29:H33)</f>
        <v>3680.5</v>
      </c>
      <c r="I34" s="112">
        <f t="shared" si="6"/>
        <v>9425.5</v>
      </c>
      <c r="J34" s="112">
        <f t="shared" si="6"/>
        <v>15511.5</v>
      </c>
      <c r="K34" s="112">
        <f t="shared" si="6"/>
        <v>12091.5</v>
      </c>
      <c r="L34" s="112">
        <f t="shared" si="6"/>
        <v>13052.5</v>
      </c>
      <c r="M34" s="112">
        <f t="shared" si="6"/>
        <v>14768.5</v>
      </c>
      <c r="N34" s="112">
        <f t="shared" si="6"/>
        <v>6563.5</v>
      </c>
      <c r="O34" s="112">
        <f t="shared" si="6"/>
        <v>9972.5</v>
      </c>
      <c r="P34" s="112">
        <f t="shared" si="6"/>
        <v>12431.5</v>
      </c>
      <c r="Q34" s="112">
        <f t="shared" si="6"/>
        <v>3680.5</v>
      </c>
      <c r="R34" s="121">
        <f t="shared" si="6"/>
        <v>6336.5</v>
      </c>
    </row>
    <row r="35" spans="2:19" s="108" customFormat="1" ht="15.75">
      <c r="B35" s="1025" t="s">
        <v>460</v>
      </c>
      <c r="C35" s="1026"/>
      <c r="D35" s="115">
        <f>'données éco.'!AB31</f>
        <v>5728.25</v>
      </c>
      <c r="E35" s="291">
        <f t="shared" ref="E35:E36" si="7">D35-F35</f>
        <v>0</v>
      </c>
      <c r="F35" s="291">
        <f t="shared" si="2"/>
        <v>5728.2500000000009</v>
      </c>
      <c r="G35" s="410">
        <f>D35/12</f>
        <v>477.35416666666669</v>
      </c>
      <c r="H35" s="410">
        <f>$G$35</f>
        <v>477.35416666666669</v>
      </c>
      <c r="I35" s="410">
        <f t="shared" ref="I35:R35" si="8">$G$35</f>
        <v>477.35416666666669</v>
      </c>
      <c r="J35" s="410">
        <f t="shared" si="8"/>
        <v>477.35416666666669</v>
      </c>
      <c r="K35" s="410">
        <f t="shared" si="8"/>
        <v>477.35416666666669</v>
      </c>
      <c r="L35" s="410">
        <f t="shared" si="8"/>
        <v>477.35416666666669</v>
      </c>
      <c r="M35" s="410">
        <f t="shared" si="8"/>
        <v>477.35416666666669</v>
      </c>
      <c r="N35" s="410">
        <f t="shared" si="8"/>
        <v>477.35416666666669</v>
      </c>
      <c r="O35" s="410">
        <f t="shared" si="8"/>
        <v>477.35416666666669</v>
      </c>
      <c r="P35" s="410">
        <f t="shared" si="8"/>
        <v>477.35416666666669</v>
      </c>
      <c r="Q35" s="410">
        <f t="shared" si="8"/>
        <v>477.35416666666669</v>
      </c>
      <c r="R35" s="410">
        <f t="shared" si="8"/>
        <v>477.35416666666669</v>
      </c>
    </row>
    <row r="36" spans="2:19" s="108" customFormat="1" ht="16.5" thickBot="1">
      <c r="B36" s="1033" t="s">
        <v>344</v>
      </c>
      <c r="C36" s="1034"/>
      <c r="D36" s="702">
        <f>'données éco.'!AD31+D30+D31+D32+D33</f>
        <v>122048.25</v>
      </c>
      <c r="E36" s="698">
        <f t="shared" si="7"/>
        <v>0</v>
      </c>
      <c r="F36" s="698">
        <f t="shared" si="2"/>
        <v>122048.25000000001</v>
      </c>
      <c r="G36" s="138">
        <f>G34+G35</f>
        <v>9282.8541666666661</v>
      </c>
      <c r="H36" s="138">
        <f t="shared" ref="H36:R36" si="9">H34+H35</f>
        <v>4157.854166666667</v>
      </c>
      <c r="I36" s="138">
        <f t="shared" si="9"/>
        <v>9902.8541666666661</v>
      </c>
      <c r="J36" s="138">
        <f t="shared" si="9"/>
        <v>15988.854166666666</v>
      </c>
      <c r="K36" s="138">
        <f t="shared" si="9"/>
        <v>12568.854166666666</v>
      </c>
      <c r="L36" s="138">
        <f t="shared" si="9"/>
        <v>13529.854166666666</v>
      </c>
      <c r="M36" s="138">
        <f t="shared" si="9"/>
        <v>15245.854166666666</v>
      </c>
      <c r="N36" s="138">
        <f t="shared" si="9"/>
        <v>7040.854166666667</v>
      </c>
      <c r="O36" s="138">
        <f t="shared" si="9"/>
        <v>10449.854166666666</v>
      </c>
      <c r="P36" s="138">
        <f t="shared" si="9"/>
        <v>12908.854166666666</v>
      </c>
      <c r="Q36" s="138">
        <f t="shared" si="9"/>
        <v>4157.854166666667</v>
      </c>
      <c r="R36" s="174">
        <f t="shared" si="9"/>
        <v>6813.854166666667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10">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11">D39-F39</f>
        <v>0</v>
      </c>
      <c r="F39" s="292">
        <f t="shared" si="10"/>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11"/>
        <v>0</v>
      </c>
      <c r="F40" s="292">
        <f t="shared" si="10"/>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11"/>
        <v>0</v>
      </c>
      <c r="F41" s="292">
        <f t="shared" si="10"/>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11"/>
        <v>0</v>
      </c>
      <c r="F42" s="292">
        <f t="shared" si="10"/>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11"/>
        <v>0</v>
      </c>
      <c r="F43" s="292">
        <f t="shared" si="10"/>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11"/>
        <v>0</v>
      </c>
      <c r="F44" s="292">
        <f t="shared" si="10"/>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11"/>
        <v>0</v>
      </c>
      <c r="F45" s="292">
        <f t="shared" si="10"/>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11"/>
        <v>0</v>
      </c>
      <c r="F46" s="292">
        <f t="shared" si="10"/>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11"/>
        <v>0</v>
      </c>
      <c r="F47" s="292">
        <f t="shared" si="10"/>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11"/>
        <v>0</v>
      </c>
      <c r="F48" s="292">
        <f t="shared" si="10"/>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11"/>
        <v>0</v>
      </c>
      <c r="F49" s="292">
        <f t="shared" si="10"/>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11"/>
        <v>0</v>
      </c>
      <c r="F50" s="292">
        <f t="shared" si="10"/>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11"/>
        <v>0</v>
      </c>
      <c r="F51" s="292">
        <f t="shared" si="10"/>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2550</v>
      </c>
      <c r="E52" s="292">
        <f t="shared" si="11"/>
        <v>0</v>
      </c>
      <c r="F52" s="292">
        <f t="shared" si="10"/>
        <v>2550</v>
      </c>
      <c r="G52" s="410">
        <f>'BP - N+3'!G52</f>
        <v>0</v>
      </c>
      <c r="H52" s="410"/>
      <c r="I52" s="410"/>
      <c r="J52" s="410"/>
      <c r="K52" s="410"/>
      <c r="L52" s="410">
        <f>D52/6*2</f>
        <v>850</v>
      </c>
      <c r="M52" s="410">
        <f>D52/6*4</f>
        <v>1700</v>
      </c>
      <c r="N52" s="410"/>
      <c r="O52" s="410"/>
      <c r="P52" s="410"/>
      <c r="Q52" s="410"/>
      <c r="R52" s="411">
        <f>'BP - N+3'!R52</f>
        <v>0</v>
      </c>
      <c r="S52" s="110"/>
    </row>
    <row r="53" spans="2:19" s="108" customFormat="1" ht="15">
      <c r="B53" s="109"/>
      <c r="C53" s="116" t="str">
        <f>T('données éco.'!B52:D52)</f>
        <v>Semences et plants</v>
      </c>
      <c r="D53" s="292">
        <f>'données éco.'!AB52</f>
        <v>7000</v>
      </c>
      <c r="E53" s="292">
        <f t="shared" si="11"/>
        <v>0</v>
      </c>
      <c r="F53" s="292">
        <f t="shared" si="10"/>
        <v>6999.9999999999991</v>
      </c>
      <c r="G53" s="410">
        <f>D53/12</f>
        <v>583.33333333333337</v>
      </c>
      <c r="H53" s="410">
        <f>$G$53</f>
        <v>583.33333333333337</v>
      </c>
      <c r="I53" s="410">
        <f t="shared" ref="I53:R53" si="12">$G$53</f>
        <v>583.33333333333337</v>
      </c>
      <c r="J53" s="410">
        <f t="shared" si="12"/>
        <v>583.33333333333337</v>
      </c>
      <c r="K53" s="410">
        <f t="shared" si="12"/>
        <v>583.33333333333337</v>
      </c>
      <c r="L53" s="410">
        <f t="shared" si="12"/>
        <v>583.33333333333337</v>
      </c>
      <c r="M53" s="410">
        <f t="shared" si="12"/>
        <v>583.33333333333337</v>
      </c>
      <c r="N53" s="410">
        <f t="shared" si="12"/>
        <v>583.33333333333337</v>
      </c>
      <c r="O53" s="410">
        <f t="shared" si="12"/>
        <v>583.33333333333337</v>
      </c>
      <c r="P53" s="410">
        <f t="shared" si="12"/>
        <v>583.33333333333337</v>
      </c>
      <c r="Q53" s="410">
        <f t="shared" si="12"/>
        <v>583.33333333333337</v>
      </c>
      <c r="R53" s="410">
        <f t="shared" si="12"/>
        <v>583.33333333333337</v>
      </c>
      <c r="S53" s="110"/>
    </row>
    <row r="54" spans="2:19" s="108" customFormat="1" ht="15">
      <c r="B54" s="109"/>
      <c r="C54" s="116" t="str">
        <f>T('données éco.'!B53:D53)</f>
        <v>Travaux par tiers pour animaux (les prestations de service , ex:tonte des brebis</v>
      </c>
      <c r="D54" s="292">
        <f>'données éco.'!AB53</f>
        <v>0</v>
      </c>
      <c r="E54" s="292">
        <f t="shared" si="11"/>
        <v>0</v>
      </c>
      <c r="F54" s="292">
        <f t="shared" si="10"/>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11"/>
        <v>0</v>
      </c>
      <c r="F55" s="291">
        <f t="shared" si="10"/>
        <v>0</v>
      </c>
      <c r="G55" s="410">
        <f>'BP - N+3'!G55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éco.'!AB55</f>
        <v>2000</v>
      </c>
      <c r="E56" s="292">
        <f t="shared" si="11"/>
        <v>0</v>
      </c>
      <c r="F56" s="291">
        <f t="shared" si="10"/>
        <v>2000.0000000000002</v>
      </c>
      <c r="G56" s="410">
        <f>D56/12</f>
        <v>166.66666666666666</v>
      </c>
      <c r="H56" s="410">
        <f>D56/12</f>
        <v>166.66666666666666</v>
      </c>
      <c r="I56" s="410">
        <f>$H$56</f>
        <v>166.66666666666666</v>
      </c>
      <c r="J56" s="410">
        <f t="shared" ref="J56:R56" si="13">$H$56</f>
        <v>166.66666666666666</v>
      </c>
      <c r="K56" s="410">
        <f t="shared" si="13"/>
        <v>166.66666666666666</v>
      </c>
      <c r="L56" s="410">
        <f t="shared" si="13"/>
        <v>166.66666666666666</v>
      </c>
      <c r="M56" s="410">
        <f t="shared" si="13"/>
        <v>166.66666666666666</v>
      </c>
      <c r="N56" s="410">
        <f t="shared" si="13"/>
        <v>166.66666666666666</v>
      </c>
      <c r="O56" s="410">
        <f t="shared" si="13"/>
        <v>166.66666666666666</v>
      </c>
      <c r="P56" s="410">
        <f t="shared" si="13"/>
        <v>166.66666666666666</v>
      </c>
      <c r="Q56" s="410">
        <f t="shared" si="13"/>
        <v>166.66666666666666</v>
      </c>
      <c r="R56" s="410">
        <f t="shared" si="13"/>
        <v>166.66666666666666</v>
      </c>
      <c r="S56" s="110"/>
    </row>
    <row r="57" spans="2:19" s="108" customFormat="1" ht="15">
      <c r="B57" s="109"/>
      <c r="C57" s="116" t="str">
        <f>T('données éco.'!B56:D56)</f>
        <v>Charges opé pépi</v>
      </c>
      <c r="D57" s="291">
        <f>'données éco.'!AB56</f>
        <v>830</v>
      </c>
      <c r="E57" s="292">
        <f t="shared" si="11"/>
        <v>0</v>
      </c>
      <c r="F57" s="291">
        <f t="shared" si="10"/>
        <v>829.99999999999989</v>
      </c>
      <c r="G57" s="410">
        <f>D57/12</f>
        <v>69.166666666666671</v>
      </c>
      <c r="H57" s="410">
        <f>$G$57</f>
        <v>69.166666666666671</v>
      </c>
      <c r="I57" s="410">
        <f t="shared" ref="I57:R57" si="14">$G$57</f>
        <v>69.166666666666671</v>
      </c>
      <c r="J57" s="410">
        <f t="shared" si="14"/>
        <v>69.166666666666671</v>
      </c>
      <c r="K57" s="410">
        <f t="shared" si="14"/>
        <v>69.166666666666671</v>
      </c>
      <c r="L57" s="410">
        <f t="shared" si="14"/>
        <v>69.166666666666671</v>
      </c>
      <c r="M57" s="410">
        <f t="shared" si="14"/>
        <v>69.166666666666671</v>
      </c>
      <c r="N57" s="410">
        <f t="shared" si="14"/>
        <v>69.166666666666671</v>
      </c>
      <c r="O57" s="410">
        <f t="shared" si="14"/>
        <v>69.166666666666671</v>
      </c>
      <c r="P57" s="410">
        <f t="shared" si="14"/>
        <v>69.166666666666671</v>
      </c>
      <c r="Q57" s="410">
        <f t="shared" si="14"/>
        <v>69.166666666666671</v>
      </c>
      <c r="R57" s="410">
        <f t="shared" si="14"/>
        <v>69.166666666666671</v>
      </c>
      <c r="S57" s="110"/>
    </row>
    <row r="58" spans="2:19" s="108" customFormat="1" ht="15">
      <c r="B58" s="109"/>
      <c r="C58" s="116" t="str">
        <f>T('données éco.'!B57:D57)</f>
        <v/>
      </c>
      <c r="D58" s="291">
        <f>'données éco.'!AB57</f>
        <v>0</v>
      </c>
      <c r="E58" s="292">
        <f t="shared" si="11"/>
        <v>0</v>
      </c>
      <c r="F58" s="291">
        <f t="shared" si="10"/>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11"/>
        <v>0</v>
      </c>
      <c r="F59" s="291">
        <f t="shared" si="10"/>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11"/>
        <v>0</v>
      </c>
      <c r="F60" s="291">
        <f t="shared" si="10"/>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11"/>
        <v>0</v>
      </c>
      <c r="F61" s="291">
        <f t="shared" si="10"/>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11"/>
        <v>0</v>
      </c>
      <c r="F62" s="291">
        <f t="shared" si="10"/>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11"/>
        <v>0</v>
      </c>
      <c r="F63" s="291">
        <f t="shared" si="10"/>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11"/>
        <v>0</v>
      </c>
      <c r="F64" s="291">
        <f t="shared" si="10"/>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11"/>
        <v>0</v>
      </c>
      <c r="F65" s="291">
        <f t="shared" si="10"/>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11"/>
        <v>0</v>
      </c>
      <c r="F66" s="291">
        <f t="shared" si="10"/>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11"/>
        <v>0</v>
      </c>
      <c r="F67" s="291">
        <f t="shared" si="10"/>
        <v>0</v>
      </c>
      <c r="G67" s="410">
        <f>'BP - N+3'!G67</f>
        <v>0</v>
      </c>
      <c r="H67" s="410"/>
      <c r="I67" s="410"/>
      <c r="J67" s="410"/>
      <c r="K67" s="410"/>
      <c r="L67" s="410"/>
      <c r="M67" s="410"/>
      <c r="N67" s="410"/>
      <c r="O67" s="410"/>
      <c r="P67" s="410"/>
      <c r="Q67" s="410"/>
      <c r="R67" s="411"/>
      <c r="S67" s="110"/>
    </row>
    <row r="68" spans="2:19" s="108" customFormat="1" ht="15.75">
      <c r="B68" s="1029" t="s">
        <v>341</v>
      </c>
      <c r="C68" s="1030"/>
      <c r="D68" s="701">
        <f>SUM(D38:D67)</f>
        <v>18380</v>
      </c>
      <c r="E68" s="697">
        <f t="shared" si="11"/>
        <v>0</v>
      </c>
      <c r="F68" s="696">
        <f t="shared" si="10"/>
        <v>18380.000000000004</v>
      </c>
      <c r="G68" s="112">
        <f>SUM(G38:G67)</f>
        <v>1819.8333333333335</v>
      </c>
      <c r="H68" s="112">
        <f t="shared" ref="H68:R68" si="15">SUM(H38:H67)</f>
        <v>1152.8333333333335</v>
      </c>
      <c r="I68" s="112">
        <f t="shared" si="15"/>
        <v>1152.8333333333335</v>
      </c>
      <c r="J68" s="112">
        <f t="shared" si="15"/>
        <v>1152.8333333333335</v>
      </c>
      <c r="K68" s="112">
        <f t="shared" si="15"/>
        <v>1819.8333333333335</v>
      </c>
      <c r="L68" s="112">
        <f t="shared" si="15"/>
        <v>2002.8333333333335</v>
      </c>
      <c r="M68" s="112">
        <f t="shared" si="15"/>
        <v>2852.833333333333</v>
      </c>
      <c r="N68" s="112">
        <f t="shared" si="15"/>
        <v>1152.8333333333335</v>
      </c>
      <c r="O68" s="112">
        <f t="shared" si="15"/>
        <v>1818.8333333333335</v>
      </c>
      <c r="P68" s="112">
        <f t="shared" si="15"/>
        <v>1152.8333333333335</v>
      </c>
      <c r="Q68" s="112">
        <f t="shared" si="15"/>
        <v>1152.8333333333335</v>
      </c>
      <c r="R68" s="121">
        <f t="shared" si="15"/>
        <v>1148.8333333333335</v>
      </c>
      <c r="S68" s="110"/>
    </row>
    <row r="69" spans="2:19" s="108" customFormat="1" ht="21.6" customHeight="1" thickBot="1">
      <c r="B69" s="1018" t="s">
        <v>461</v>
      </c>
      <c r="C69" s="1019"/>
      <c r="D69" s="122">
        <f>'données éco.'!AC67</f>
        <v>2246</v>
      </c>
      <c r="E69" s="122">
        <f t="shared" si="11"/>
        <v>0</v>
      </c>
      <c r="F69" s="122">
        <f t="shared" si="10"/>
        <v>2246</v>
      </c>
      <c r="G69" s="414">
        <f>D69/12</f>
        <v>187.16666666666666</v>
      </c>
      <c r="H69" s="414">
        <f>$G$69</f>
        <v>187.16666666666666</v>
      </c>
      <c r="I69" s="414">
        <f t="shared" ref="I69:R69" si="16">$G$69</f>
        <v>187.16666666666666</v>
      </c>
      <c r="J69" s="414">
        <f t="shared" si="16"/>
        <v>187.16666666666666</v>
      </c>
      <c r="K69" s="414">
        <f t="shared" si="16"/>
        <v>187.16666666666666</v>
      </c>
      <c r="L69" s="414">
        <f t="shared" si="16"/>
        <v>187.16666666666666</v>
      </c>
      <c r="M69" s="414">
        <f t="shared" si="16"/>
        <v>187.16666666666666</v>
      </c>
      <c r="N69" s="414">
        <f t="shared" si="16"/>
        <v>187.16666666666666</v>
      </c>
      <c r="O69" s="414">
        <f t="shared" si="16"/>
        <v>187.16666666666666</v>
      </c>
      <c r="P69" s="414">
        <f t="shared" si="16"/>
        <v>187.16666666666666</v>
      </c>
      <c r="Q69" s="414">
        <f t="shared" si="16"/>
        <v>187.16666666666666</v>
      </c>
      <c r="R69" s="414">
        <f t="shared" si="16"/>
        <v>187.16666666666666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10"/>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10"/>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7">D73-F73</f>
        <v>0</v>
      </c>
      <c r="F73" s="292">
        <f t="shared" si="10"/>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7"/>
        <v>0</v>
      </c>
      <c r="F74" s="292">
        <f t="shared" si="10"/>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7"/>
        <v>0</v>
      </c>
      <c r="F75" s="292">
        <f t="shared" si="10"/>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7"/>
        <v>0</v>
      </c>
      <c r="F76" s="292">
        <f t="shared" si="10"/>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7"/>
        <v>0</v>
      </c>
      <c r="F77" s="292">
        <f t="shared" si="10"/>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7"/>
        <v>0</v>
      </c>
      <c r="F78" s="292">
        <f t="shared" si="10"/>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7"/>
        <v>0</v>
      </c>
      <c r="F79" s="292">
        <f t="shared" si="10"/>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7"/>
        <v>0</v>
      </c>
      <c r="F80" s="292">
        <f t="shared" si="10"/>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7"/>
        <v>0</v>
      </c>
      <c r="F81" s="292">
        <f t="shared" si="10"/>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7"/>
        <v>0</v>
      </c>
      <c r="F82" s="292">
        <f t="shared" si="10"/>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7"/>
        <v>0</v>
      </c>
      <c r="F83" s="292">
        <f t="shared" si="10"/>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7"/>
        <v>0</v>
      </c>
      <c r="F84" s="292">
        <f t="shared" si="10"/>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7"/>
        <v>0</v>
      </c>
      <c r="F85" s="292">
        <f t="shared" si="10"/>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7"/>
        <v>0</v>
      </c>
      <c r="F86" s="292">
        <f t="shared" si="10"/>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7"/>
        <v>0</v>
      </c>
      <c r="F87" s="292">
        <f t="shared" si="10"/>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7"/>
        <v>0</v>
      </c>
      <c r="F88" s="292">
        <f t="shared" si="10"/>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10500</v>
      </c>
      <c r="E89" s="292">
        <f t="shared" si="17"/>
        <v>0</v>
      </c>
      <c r="F89" s="292">
        <f t="shared" si="10"/>
        <v>10500</v>
      </c>
      <c r="G89" s="410">
        <f>D89/12</f>
        <v>875</v>
      </c>
      <c r="H89" s="410">
        <f>G89</f>
        <v>875</v>
      </c>
      <c r="I89" s="410">
        <f t="shared" ref="I89:R89" si="18">H89</f>
        <v>875</v>
      </c>
      <c r="J89" s="410">
        <f t="shared" si="18"/>
        <v>875</v>
      </c>
      <c r="K89" s="410">
        <f t="shared" si="18"/>
        <v>875</v>
      </c>
      <c r="L89" s="410">
        <f t="shared" si="18"/>
        <v>875</v>
      </c>
      <c r="M89" s="410">
        <f t="shared" si="18"/>
        <v>875</v>
      </c>
      <c r="N89" s="410">
        <f t="shared" si="18"/>
        <v>875</v>
      </c>
      <c r="O89" s="410">
        <f t="shared" si="18"/>
        <v>875</v>
      </c>
      <c r="P89" s="410">
        <f t="shared" si="18"/>
        <v>875</v>
      </c>
      <c r="Q89" s="410">
        <f t="shared" si="18"/>
        <v>875</v>
      </c>
      <c r="R89" s="410">
        <f t="shared" si="18"/>
        <v>875</v>
      </c>
      <c r="S89" s="118"/>
    </row>
    <row r="90" spans="2:19" s="108" customFormat="1" ht="15">
      <c r="B90" s="109"/>
      <c r="C90" s="116" t="str">
        <f>T('données éco.'!B87:D87)</f>
        <v>Notaire</v>
      </c>
      <c r="D90" s="292">
        <f>'données éco.'!AB87</f>
        <v>0</v>
      </c>
      <c r="E90" s="292">
        <f t="shared" si="17"/>
        <v>0</v>
      </c>
      <c r="F90" s="292">
        <f t="shared" si="10"/>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7"/>
        <v>0</v>
      </c>
      <c r="F91" s="292">
        <f t="shared" si="10"/>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7"/>
        <v>0</v>
      </c>
      <c r="F92" s="292">
        <f t="shared" si="10"/>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7"/>
        <v>0</v>
      </c>
      <c r="F93" s="292">
        <f t="shared" si="10"/>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7"/>
        <v>0</v>
      </c>
      <c r="F94" s="292">
        <f t="shared" si="10"/>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7"/>
        <v>0</v>
      </c>
      <c r="F95" s="292">
        <f t="shared" si="10"/>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7"/>
        <v>0</v>
      </c>
      <c r="F96" s="292">
        <f t="shared" si="10"/>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7"/>
        <v>0</v>
      </c>
      <c r="F97" s="292">
        <f t="shared" si="10"/>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29" t="s">
        <v>340</v>
      </c>
      <c r="C98" s="1030"/>
      <c r="D98" s="697">
        <f>SUM(D71:D97)</f>
        <v>27400</v>
      </c>
      <c r="E98" s="697">
        <f t="shared" si="17"/>
        <v>0</v>
      </c>
      <c r="F98" s="697">
        <f t="shared" si="10"/>
        <v>27400.000000000011</v>
      </c>
      <c r="G98" s="129">
        <f>SUM(G71:G97)</f>
        <v>2284.166666666667</v>
      </c>
      <c r="H98" s="129">
        <f t="shared" ref="H98:Q98" si="19">SUM(H71:H97)</f>
        <v>2284.166666666667</v>
      </c>
      <c r="I98" s="129">
        <f t="shared" si="19"/>
        <v>2284.166666666667</v>
      </c>
      <c r="J98" s="129">
        <f t="shared" si="19"/>
        <v>2284.166666666667</v>
      </c>
      <c r="K98" s="129">
        <f t="shared" si="19"/>
        <v>2284.166666666667</v>
      </c>
      <c r="L98" s="129">
        <f t="shared" si="19"/>
        <v>2284.166666666667</v>
      </c>
      <c r="M98" s="129">
        <f t="shared" si="19"/>
        <v>2284.166666666667</v>
      </c>
      <c r="N98" s="129">
        <f t="shared" si="19"/>
        <v>2284.166666666667</v>
      </c>
      <c r="O98" s="129">
        <f t="shared" si="19"/>
        <v>2284.166666666667</v>
      </c>
      <c r="P98" s="129">
        <f t="shared" si="19"/>
        <v>2284.166666666667</v>
      </c>
      <c r="Q98" s="129">
        <f t="shared" si="19"/>
        <v>2284.166666666667</v>
      </c>
      <c r="R98" s="121">
        <f>SUM(R71:R97)</f>
        <v>2274.166666666667</v>
      </c>
      <c r="S98" s="118"/>
    </row>
    <row r="99" spans="2:23" s="108" customFormat="1" ht="16.5" thickBot="1">
      <c r="B99" s="1018" t="s">
        <v>462</v>
      </c>
      <c r="C99" s="1019"/>
      <c r="D99" s="122">
        <f>'données éco.'!AC95</f>
        <v>3380</v>
      </c>
      <c r="E99" s="122">
        <f t="shared" si="17"/>
        <v>0</v>
      </c>
      <c r="F99" s="293">
        <f t="shared" ref="F99:F112" si="20">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2" t="s">
        <v>330</v>
      </c>
      <c r="C101" s="126" t="s">
        <v>463</v>
      </c>
      <c r="D101" s="127">
        <f>'données éco.'!H189</f>
        <v>0</v>
      </c>
      <c r="E101" s="127">
        <f>D101-F101</f>
        <v>0</v>
      </c>
      <c r="F101" s="127">
        <f t="shared" si="20"/>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éco.'!I189</f>
        <v>0</v>
      </c>
      <c r="E102" s="293">
        <f>D102-F102</f>
        <v>0</v>
      </c>
      <c r="F102" s="293">
        <f t="shared" si="20"/>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51406</v>
      </c>
      <c r="E105" s="130">
        <f>D105-F105</f>
        <v>0</v>
      </c>
      <c r="F105" s="130">
        <f>SUM(G105:R105)</f>
        <v>51406.000000000015</v>
      </c>
      <c r="G105" s="130">
        <f>SUM(G68+G69+G98+G99+G101+G102)</f>
        <v>4572.8333333333339</v>
      </c>
      <c r="H105" s="130">
        <f>SUM(H68+H69+H98+H99+H101+H102)</f>
        <v>3905.8333333333335</v>
      </c>
      <c r="I105" s="130">
        <f>SUM(I68+I69+I98+I99+I101+I102)</f>
        <v>3905.8333333333335</v>
      </c>
      <c r="J105" s="130">
        <f>SUM(J68+J69+J98+J99+J101+J102)</f>
        <v>3905.8333333333335</v>
      </c>
      <c r="K105" s="130">
        <f>SUM(K68+K69+K98+K99+K101+K102)</f>
        <v>4572.8333333333339</v>
      </c>
      <c r="L105" s="130">
        <f t="shared" ref="L105:R105" si="21">SUM(L68+L69+L98+L99+L101+L102)</f>
        <v>4755.8333333333339</v>
      </c>
      <c r="M105" s="130">
        <f t="shared" si="21"/>
        <v>5605.833333333333</v>
      </c>
      <c r="N105" s="130">
        <f t="shared" si="21"/>
        <v>3905.8333333333335</v>
      </c>
      <c r="O105" s="130">
        <f t="shared" si="21"/>
        <v>4571.8333333333339</v>
      </c>
      <c r="P105" s="130">
        <f t="shared" si="21"/>
        <v>3905.8333333333335</v>
      </c>
      <c r="Q105" s="130">
        <f t="shared" si="21"/>
        <v>3905.8333333333335</v>
      </c>
      <c r="R105" s="131">
        <f t="shared" si="21"/>
        <v>3891.8333333333335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Annuités!U104</f>
        <v>7285.1074289304761</v>
      </c>
      <c r="E109" s="293">
        <f>D109-F109</f>
        <v>0.10742893047608959</v>
      </c>
      <c r="F109" s="293">
        <f t="shared" si="20"/>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75">
      <c r="B110" s="1048" t="s">
        <v>332</v>
      </c>
      <c r="C110" s="1049"/>
      <c r="D110" s="694">
        <f>'données éco.'!M261</f>
        <v>57600</v>
      </c>
      <c r="E110" s="127">
        <f>D110-F110</f>
        <v>0</v>
      </c>
      <c r="F110" s="127">
        <f t="shared" si="20"/>
        <v>57600</v>
      </c>
      <c r="G110" s="412">
        <f>D110/12</f>
        <v>4800</v>
      </c>
      <c r="H110" s="412">
        <f>$G$110</f>
        <v>4800</v>
      </c>
      <c r="I110" s="412">
        <f t="shared" ref="I110:R110" si="22">$G$110</f>
        <v>4800</v>
      </c>
      <c r="J110" s="412">
        <f t="shared" si="22"/>
        <v>4800</v>
      </c>
      <c r="K110" s="412">
        <f t="shared" si="22"/>
        <v>4800</v>
      </c>
      <c r="L110" s="412">
        <f t="shared" si="22"/>
        <v>4800</v>
      </c>
      <c r="M110" s="412">
        <f t="shared" si="22"/>
        <v>4800</v>
      </c>
      <c r="N110" s="412">
        <f t="shared" si="22"/>
        <v>4800</v>
      </c>
      <c r="O110" s="412">
        <f t="shared" si="22"/>
        <v>4800</v>
      </c>
      <c r="P110" s="412">
        <f t="shared" si="22"/>
        <v>4800</v>
      </c>
      <c r="Q110" s="412">
        <f t="shared" si="22"/>
        <v>4800</v>
      </c>
      <c r="R110" s="412">
        <f t="shared" si="22"/>
        <v>4800</v>
      </c>
      <c r="S110" s="118"/>
    </row>
    <row r="111" spans="2:23" s="108" customFormat="1" ht="16.5" thickBot="1">
      <c r="B111" s="703" t="s">
        <v>486</v>
      </c>
      <c r="C111" s="704"/>
      <c r="D111" s="707">
        <f>'données éco.'!M250</f>
        <v>0</v>
      </c>
      <c r="E111" s="297">
        <f>D111-F111</f>
        <v>0</v>
      </c>
      <c r="F111" s="293">
        <f t="shared" si="20"/>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64885.107428930474</v>
      </c>
      <c r="E112" s="130">
        <f>D112-F112</f>
        <v>0.1074289304742706</v>
      </c>
      <c r="F112" s="130">
        <f t="shared" si="20"/>
        <v>64885</v>
      </c>
      <c r="G112" s="134">
        <f>SUM(G108:G110)-G111</f>
        <v>5407</v>
      </c>
      <c r="H112" s="134">
        <f t="shared" ref="H112:R112" si="23">SUM(H108:H110)-H111</f>
        <v>5407</v>
      </c>
      <c r="I112" s="134">
        <f t="shared" si="23"/>
        <v>5407</v>
      </c>
      <c r="J112" s="134">
        <f t="shared" si="23"/>
        <v>5407</v>
      </c>
      <c r="K112" s="134">
        <f t="shared" si="23"/>
        <v>5407</v>
      </c>
      <c r="L112" s="134">
        <f t="shared" si="23"/>
        <v>5407</v>
      </c>
      <c r="M112" s="134">
        <f t="shared" si="23"/>
        <v>5407</v>
      </c>
      <c r="N112" s="134">
        <f t="shared" si="23"/>
        <v>5407</v>
      </c>
      <c r="O112" s="134">
        <f t="shared" si="23"/>
        <v>5407</v>
      </c>
      <c r="P112" s="134">
        <f t="shared" si="23"/>
        <v>5407</v>
      </c>
      <c r="Q112" s="134">
        <f t="shared" si="23"/>
        <v>5407</v>
      </c>
      <c r="R112" s="135">
        <f t="shared" si="23"/>
        <v>5408</v>
      </c>
      <c r="S112" s="118"/>
      <c r="W112" s="619"/>
    </row>
    <row r="113" spans="2:23" s="108" customFormat="1" ht="16.5" thickBot="1">
      <c r="D113" s="294"/>
      <c r="E113" s="294"/>
      <c r="F113" s="294"/>
      <c r="W113" s="619"/>
    </row>
    <row r="114" spans="2:23" s="136" customFormat="1" ht="26.45" customHeight="1" thickBot="1">
      <c r="B114" s="1016" t="s">
        <v>359</v>
      </c>
      <c r="C114" s="1017"/>
      <c r="D114" s="700">
        <f>D112+D105</f>
        <v>116291.10742893047</v>
      </c>
      <c r="E114" s="130">
        <f>D114-F114</f>
        <v>0.10742893048154656</v>
      </c>
      <c r="F114" s="131">
        <f>SUM(G114:R114)</f>
        <v>116290.99999999999</v>
      </c>
      <c r="G114" s="140">
        <f>G105+G112</f>
        <v>9979.8333333333339</v>
      </c>
      <c r="H114" s="140">
        <f t="shared" ref="H114:R114" si="24">H105+H112</f>
        <v>9312.8333333333339</v>
      </c>
      <c r="I114" s="140">
        <f t="shared" si="24"/>
        <v>9312.8333333333339</v>
      </c>
      <c r="J114" s="140">
        <f t="shared" si="24"/>
        <v>9312.8333333333339</v>
      </c>
      <c r="K114" s="140">
        <f t="shared" si="24"/>
        <v>9979.8333333333339</v>
      </c>
      <c r="L114" s="140">
        <f t="shared" si="24"/>
        <v>10162.833333333334</v>
      </c>
      <c r="M114" s="140">
        <f t="shared" si="24"/>
        <v>11012.833333333332</v>
      </c>
      <c r="N114" s="140">
        <f t="shared" si="24"/>
        <v>9312.8333333333339</v>
      </c>
      <c r="O114" s="140">
        <f t="shared" si="24"/>
        <v>9978.8333333333339</v>
      </c>
      <c r="P114" s="140">
        <f t="shared" si="24"/>
        <v>9312.8333333333339</v>
      </c>
      <c r="Q114" s="140">
        <f t="shared" si="24"/>
        <v>9312.8333333333339</v>
      </c>
      <c r="R114" s="175">
        <f t="shared" si="24"/>
        <v>9299.8333333333339</v>
      </c>
      <c r="S114" s="137"/>
      <c r="W114" s="618"/>
    </row>
    <row r="115" spans="2:23" s="108" customFormat="1" ht="16.5" thickBot="1">
      <c r="B115" s="1014" t="s">
        <v>360</v>
      </c>
      <c r="C115" s="1015"/>
      <c r="D115" s="1015"/>
      <c r="E115" s="1015"/>
      <c r="F115" s="1047"/>
      <c r="G115" s="139">
        <f>G36-G114</f>
        <v>-696.97916666666788</v>
      </c>
      <c r="H115" s="139">
        <f t="shared" ref="H115:R115" si="25">H36-H114</f>
        <v>-5154.979166666667</v>
      </c>
      <c r="I115" s="139">
        <f t="shared" si="25"/>
        <v>590.02083333333212</v>
      </c>
      <c r="J115" s="139">
        <f t="shared" si="25"/>
        <v>6676.0208333333321</v>
      </c>
      <c r="K115" s="139">
        <f t="shared" si="25"/>
        <v>2589.0208333333321</v>
      </c>
      <c r="L115" s="139">
        <f t="shared" si="25"/>
        <v>3367.0208333333321</v>
      </c>
      <c r="M115" s="139">
        <f t="shared" si="25"/>
        <v>4233.0208333333339</v>
      </c>
      <c r="N115" s="139">
        <f t="shared" si="25"/>
        <v>-2271.979166666667</v>
      </c>
      <c r="O115" s="139">
        <f t="shared" si="25"/>
        <v>471.02083333333212</v>
      </c>
      <c r="P115" s="139">
        <f t="shared" si="25"/>
        <v>3596.0208333333321</v>
      </c>
      <c r="Q115" s="139">
        <f t="shared" si="25"/>
        <v>-5154.979166666667</v>
      </c>
      <c r="R115" s="176">
        <f t="shared" si="25"/>
        <v>-2485.979166666667</v>
      </c>
      <c r="S115" s="118"/>
    </row>
    <row r="116" spans="2:23" s="108" customFormat="1" ht="18.75" thickBot="1">
      <c r="B116" s="617" t="s">
        <v>464</v>
      </c>
      <c r="C116" s="689" t="s">
        <v>520</v>
      </c>
      <c r="D116" s="706">
        <f>'données TK'!E5</f>
        <v>1</v>
      </c>
      <c r="E116" s="130"/>
      <c r="F116" s="182">
        <f>SUM(G116:R116)</f>
        <v>55.458333333333599</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132.14583333333326</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-25.562499999999886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-25.562499999999886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-25.562499999999886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4" t="s">
        <v>487</v>
      </c>
      <c r="C117" s="1015"/>
      <c r="D117" s="1015"/>
      <c r="E117" s="1015"/>
      <c r="F117" s="1047"/>
      <c r="G117" s="141">
        <f>IF(G116="",G6+G115,G6+G115+G116)</f>
        <v>23290.354166666675</v>
      </c>
      <c r="H117" s="141">
        <f t="shared" ref="H117:R117" si="26">IF(H116="",H6+H115,H6+H115+H116)</f>
        <v>18267.520833333339</v>
      </c>
      <c r="I117" s="141">
        <f t="shared" si="26"/>
        <v>18857.541666666672</v>
      </c>
      <c r="J117" s="141">
        <f t="shared" si="26"/>
        <v>25533.562500000004</v>
      </c>
      <c r="K117" s="141">
        <f t="shared" si="26"/>
        <v>28097.020833333336</v>
      </c>
      <c r="L117" s="141">
        <f t="shared" si="26"/>
        <v>31464.041666666668</v>
      </c>
      <c r="M117" s="141">
        <f t="shared" si="26"/>
        <v>35697.0625</v>
      </c>
      <c r="N117" s="141">
        <f t="shared" si="26"/>
        <v>33399.520833333336</v>
      </c>
      <c r="O117" s="141">
        <f t="shared" si="26"/>
        <v>33870.541666666672</v>
      </c>
      <c r="P117" s="141">
        <f t="shared" si="26"/>
        <v>37466.5625</v>
      </c>
      <c r="Q117" s="141">
        <f t="shared" si="26"/>
        <v>32286.020833333332</v>
      </c>
      <c r="R117" s="141">
        <f t="shared" si="26"/>
        <v>29800.041666666664</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G13"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410</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N+4'!R117</f>
        <v>29800.041666666664</v>
      </c>
      <c r="H6" s="179">
        <f>G117</f>
        <v>29103.062499999996</v>
      </c>
      <c r="I6" s="179">
        <f t="shared" ref="I6:R6" si="0">H117</f>
        <v>23922.520833333328</v>
      </c>
      <c r="J6" s="179">
        <f t="shared" si="0"/>
        <v>24512.541666666661</v>
      </c>
      <c r="K6" s="179">
        <f t="shared" si="0"/>
        <v>31188.562499999993</v>
      </c>
      <c r="L6" s="179">
        <f t="shared" si="0"/>
        <v>33752.020833333328</v>
      </c>
      <c r="M6" s="179">
        <f t="shared" si="0"/>
        <v>37119.041666666657</v>
      </c>
      <c r="N6" s="179">
        <f t="shared" si="0"/>
        <v>41352.062499999993</v>
      </c>
      <c r="O6" s="179">
        <f t="shared" si="0"/>
        <v>39054.520833333328</v>
      </c>
      <c r="P6" s="179">
        <f t="shared" si="0"/>
        <v>39525.541666666657</v>
      </c>
      <c r="Q6" s="179">
        <f t="shared" si="0"/>
        <v>43121.562499999985</v>
      </c>
      <c r="R6" s="180">
        <f t="shared" si="0"/>
        <v>37941.020833333321</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Fraises</v>
      </c>
      <c r="D11" s="291">
        <f>'données éco.'!AH13</f>
        <v>15400</v>
      </c>
      <c r="E11" s="291">
        <f t="shared" si="1"/>
        <v>0</v>
      </c>
      <c r="F11" s="291">
        <f t="shared" si="2"/>
        <v>15400</v>
      </c>
      <c r="G11" s="410">
        <f>'BP - N+4'!G11</f>
        <v>0</v>
      </c>
      <c r="H11" s="410">
        <f>'BP - N+4'!H11</f>
        <v>0</v>
      </c>
      <c r="I11" s="410">
        <f>'BP - N+4'!I11</f>
        <v>3080</v>
      </c>
      <c r="J11" s="410">
        <f>'BP - N+4'!J11</f>
        <v>3080</v>
      </c>
      <c r="K11" s="410">
        <f>'BP - N+4'!K11</f>
        <v>3080</v>
      </c>
      <c r="L11" s="410">
        <f>'BP - N+4'!L11</f>
        <v>3080</v>
      </c>
      <c r="M11" s="410">
        <f>'BP - N+4'!M11</f>
        <v>3080</v>
      </c>
      <c r="N11" s="410">
        <f>'BP - N+4'!N11</f>
        <v>0</v>
      </c>
      <c r="O11" s="410">
        <f>'BP - N+4'!O11</f>
        <v>0</v>
      </c>
      <c r="P11" s="410">
        <f>'BP - N+4'!P11</f>
        <v>0</v>
      </c>
      <c r="Q11" s="410">
        <f>'BP - N+4'!Q11</f>
        <v>0</v>
      </c>
      <c r="R11" s="410">
        <f>'BP - N+4'!R11</f>
        <v>0</v>
      </c>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éco.'!AH31</f>
        <v>106150</v>
      </c>
      <c r="E29" s="696">
        <f t="shared" si="1"/>
        <v>0</v>
      </c>
      <c r="F29" s="696">
        <f t="shared" si="2"/>
        <v>106150</v>
      </c>
      <c r="G29" s="112">
        <f>SUM(G7:G28)</f>
        <v>7958</v>
      </c>
      <c r="H29" s="112">
        <f t="shared" ref="H29:R29" si="3">SUM(H7:H28)</f>
        <v>2833</v>
      </c>
      <c r="I29" s="112">
        <f t="shared" si="3"/>
        <v>8578</v>
      </c>
      <c r="J29" s="112">
        <f t="shared" si="3"/>
        <v>14664</v>
      </c>
      <c r="K29" s="112">
        <f t="shared" si="3"/>
        <v>11244</v>
      </c>
      <c r="L29" s="112">
        <f t="shared" si="3"/>
        <v>12205</v>
      </c>
      <c r="M29" s="112">
        <f t="shared" si="3"/>
        <v>13921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10170</v>
      </c>
      <c r="E30" s="291">
        <f t="shared" si="1"/>
        <v>0</v>
      </c>
      <c r="F30" s="291">
        <f t="shared" si="2"/>
        <v>10170</v>
      </c>
      <c r="G30" s="410">
        <f>'BP - N+4'!G30</f>
        <v>847.5</v>
      </c>
      <c r="H30" s="410">
        <f>'BP - N+4'!H30</f>
        <v>847.5</v>
      </c>
      <c r="I30" s="410">
        <f>'BP - N+4'!I30</f>
        <v>847.5</v>
      </c>
      <c r="J30" s="410">
        <f>'BP - N+4'!J30</f>
        <v>847.5</v>
      </c>
      <c r="K30" s="410">
        <f>'BP - N+4'!K30</f>
        <v>847.5</v>
      </c>
      <c r="L30" s="410">
        <f>'BP - N+4'!L30</f>
        <v>847.5</v>
      </c>
      <c r="M30" s="410">
        <f>'BP - N+4'!M30</f>
        <v>847.5</v>
      </c>
      <c r="N30" s="410">
        <f>'BP - N+4'!N30</f>
        <v>847.5</v>
      </c>
      <c r="O30" s="410">
        <f>'BP - N+4'!O30</f>
        <v>847.5</v>
      </c>
      <c r="P30" s="410">
        <f>'BP - N+4'!P30</f>
        <v>847.5</v>
      </c>
      <c r="Q30" s="410">
        <f>'BP - N+4'!Q30</f>
        <v>847.5</v>
      </c>
      <c r="R30" s="410">
        <f>'BP - N+4'!R30</f>
        <v>847.5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116320</v>
      </c>
      <c r="G34" s="112">
        <f>SUM(G29:G33)</f>
        <v>8805.5</v>
      </c>
      <c r="H34" s="112">
        <f t="shared" ref="H34:R34" si="4">SUM(H29:H33)</f>
        <v>3680.5</v>
      </c>
      <c r="I34" s="112">
        <f t="shared" si="4"/>
        <v>9425.5</v>
      </c>
      <c r="J34" s="112">
        <f t="shared" si="4"/>
        <v>15511.5</v>
      </c>
      <c r="K34" s="112">
        <f t="shared" si="4"/>
        <v>12091.5</v>
      </c>
      <c r="L34" s="112">
        <f t="shared" si="4"/>
        <v>13052.5</v>
      </c>
      <c r="M34" s="112">
        <f t="shared" si="4"/>
        <v>14768.5</v>
      </c>
      <c r="N34" s="112">
        <f t="shared" si="4"/>
        <v>6563.5</v>
      </c>
      <c r="O34" s="112">
        <f t="shared" si="4"/>
        <v>9972.5</v>
      </c>
      <c r="P34" s="112">
        <f t="shared" si="4"/>
        <v>12431.5</v>
      </c>
      <c r="Q34" s="112">
        <f t="shared" si="4"/>
        <v>3680.5</v>
      </c>
      <c r="R34" s="121">
        <f t="shared" si="4"/>
        <v>6336.5</v>
      </c>
    </row>
    <row r="35" spans="2:19" s="108" customFormat="1" ht="15.75">
      <c r="B35" s="1025" t="s">
        <v>460</v>
      </c>
      <c r="C35" s="1026"/>
      <c r="D35" s="115">
        <f>'données éco.'!AG31</f>
        <v>5728.25</v>
      </c>
      <c r="E35" s="291">
        <f t="shared" ref="E35:E36" si="5">D35-F35</f>
        <v>0</v>
      </c>
      <c r="F35" s="291">
        <f t="shared" si="2"/>
        <v>5728.2500000000009</v>
      </c>
      <c r="G35" s="410">
        <f>'BP - N+4'!G35</f>
        <v>477.35416666666669</v>
      </c>
      <c r="H35" s="410">
        <f>'BP - N+4'!H35</f>
        <v>477.35416666666669</v>
      </c>
      <c r="I35" s="410">
        <f>'BP - N+4'!I35</f>
        <v>477.35416666666669</v>
      </c>
      <c r="J35" s="410">
        <f>'BP - N+4'!J35</f>
        <v>477.35416666666669</v>
      </c>
      <c r="K35" s="410">
        <f>'BP - N+4'!K35</f>
        <v>477.35416666666669</v>
      </c>
      <c r="L35" s="410">
        <f>'BP - N+4'!L35</f>
        <v>477.35416666666669</v>
      </c>
      <c r="M35" s="410">
        <f>'BP - N+4'!M35</f>
        <v>477.35416666666669</v>
      </c>
      <c r="N35" s="410">
        <f>'BP - N+4'!N35</f>
        <v>477.35416666666669</v>
      </c>
      <c r="O35" s="410">
        <f>'BP - N+4'!O35</f>
        <v>477.35416666666669</v>
      </c>
      <c r="P35" s="410">
        <f>'BP - N+4'!P35</f>
        <v>477.35416666666669</v>
      </c>
      <c r="Q35" s="410">
        <f>'BP - N+4'!Q35</f>
        <v>477.35416666666669</v>
      </c>
      <c r="R35" s="410">
        <f>'BP - N+4'!R35</f>
        <v>477.35416666666669</v>
      </c>
    </row>
    <row r="36" spans="2:19" s="108" customFormat="1" ht="16.5" thickBot="1">
      <c r="B36" s="1033" t="s">
        <v>344</v>
      </c>
      <c r="C36" s="1034"/>
      <c r="D36" s="702">
        <f>'données éco.'!AI31+D30+D31+D32+D33</f>
        <v>122048.25</v>
      </c>
      <c r="E36" s="698">
        <f t="shared" si="5"/>
        <v>0</v>
      </c>
      <c r="F36" s="698">
        <f t="shared" si="2"/>
        <v>122048.25000000001</v>
      </c>
      <c r="G36" s="138">
        <f>G34+G35</f>
        <v>9282.8541666666661</v>
      </c>
      <c r="H36" s="138">
        <f t="shared" ref="H36:R36" si="6">H34+H35</f>
        <v>4157.854166666667</v>
      </c>
      <c r="I36" s="138">
        <f t="shared" si="6"/>
        <v>9902.8541666666661</v>
      </c>
      <c r="J36" s="138">
        <f t="shared" si="6"/>
        <v>15988.854166666666</v>
      </c>
      <c r="K36" s="138">
        <f t="shared" si="6"/>
        <v>12568.854166666666</v>
      </c>
      <c r="L36" s="138">
        <f t="shared" si="6"/>
        <v>13529.854166666666</v>
      </c>
      <c r="M36" s="138">
        <f t="shared" si="6"/>
        <v>15245.854166666666</v>
      </c>
      <c r="N36" s="138">
        <f t="shared" si="6"/>
        <v>7040.854166666667</v>
      </c>
      <c r="O36" s="138">
        <f t="shared" si="6"/>
        <v>10449.854166666666</v>
      </c>
      <c r="P36" s="138">
        <f t="shared" si="6"/>
        <v>12908.854166666666</v>
      </c>
      <c r="Q36" s="138">
        <f t="shared" si="6"/>
        <v>4157.854166666667</v>
      </c>
      <c r="R36" s="174">
        <f t="shared" si="6"/>
        <v>6813.854166666667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2550</v>
      </c>
      <c r="E52" s="292">
        <f t="shared" si="8"/>
        <v>0</v>
      </c>
      <c r="F52" s="292">
        <f t="shared" si="7"/>
        <v>2550</v>
      </c>
      <c r="G52" s="412">
        <f>'BP - N+4'!G52</f>
        <v>0</v>
      </c>
      <c r="H52" s="412">
        <f>'BP - N+4'!H52</f>
        <v>0</v>
      </c>
      <c r="I52" s="412">
        <f>'BP - N+4'!I52</f>
        <v>0</v>
      </c>
      <c r="J52" s="412">
        <f>'BP - N+4'!J52</f>
        <v>0</v>
      </c>
      <c r="K52" s="412">
        <f>'BP - N+4'!K52</f>
        <v>0</v>
      </c>
      <c r="L52" s="412">
        <f>'BP - N+4'!L52</f>
        <v>850</v>
      </c>
      <c r="M52" s="412">
        <f>'BP - N+4'!M52</f>
        <v>1700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7000</v>
      </c>
      <c r="E53" s="292">
        <f t="shared" si="8"/>
        <v>0</v>
      </c>
      <c r="F53" s="292">
        <f t="shared" si="7"/>
        <v>6999.9999999999991</v>
      </c>
      <c r="G53" s="412">
        <f>'BP - N+4'!G53</f>
        <v>583.33333333333337</v>
      </c>
      <c r="H53" s="412">
        <f>'BP - N+4'!H53</f>
        <v>583.33333333333337</v>
      </c>
      <c r="I53" s="412">
        <f>'BP - N+4'!I53</f>
        <v>583.33333333333337</v>
      </c>
      <c r="J53" s="412">
        <f>'BP - N+4'!J53</f>
        <v>583.33333333333337</v>
      </c>
      <c r="K53" s="412">
        <f>'BP - N+4'!K53</f>
        <v>583.33333333333337</v>
      </c>
      <c r="L53" s="412">
        <f>'BP - N+4'!L53</f>
        <v>583.33333333333337</v>
      </c>
      <c r="M53" s="412">
        <f>'BP - N+4'!M53</f>
        <v>583.33333333333337</v>
      </c>
      <c r="N53" s="412">
        <f>'BP - N+4'!N53</f>
        <v>583.33333333333337</v>
      </c>
      <c r="O53" s="412">
        <f>'BP - N+4'!O53</f>
        <v>583.33333333333337</v>
      </c>
      <c r="P53" s="412">
        <f>'BP - N+4'!P53</f>
        <v>583.33333333333337</v>
      </c>
      <c r="Q53" s="412">
        <f>'BP - N+4'!Q53</f>
        <v>583.33333333333337</v>
      </c>
      <c r="R53" s="412">
        <f>'BP - N+4'!R53</f>
        <v>583.33333333333337</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Charges opé fraises</v>
      </c>
      <c r="D56" s="291">
        <f>'données éco.'!AG55</f>
        <v>2000</v>
      </c>
      <c r="E56" s="292">
        <f t="shared" si="8"/>
        <v>0</v>
      </c>
      <c r="F56" s="291">
        <f t="shared" si="7"/>
        <v>2000.0000000000002</v>
      </c>
      <c r="G56" s="412">
        <f>'BP - N+4'!G56</f>
        <v>166.66666666666666</v>
      </c>
      <c r="H56" s="410">
        <f>$G$56</f>
        <v>166.66666666666666</v>
      </c>
      <c r="I56" s="410">
        <f t="shared" ref="I56:R56" si="9">$G$56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75" thickBot="1">
      <c r="B57" s="109"/>
      <c r="C57" s="116" t="str">
        <f>T('données éco.'!B56:D56)</f>
        <v>Charges opé pépi</v>
      </c>
      <c r="D57" s="291">
        <f>'données éco.'!AG56</f>
        <v>830</v>
      </c>
      <c r="E57" s="292">
        <f t="shared" si="8"/>
        <v>0</v>
      </c>
      <c r="F57" s="291">
        <f t="shared" si="7"/>
        <v>829.99999999999989</v>
      </c>
      <c r="G57" s="412">
        <f>'BP - N+4'!G57</f>
        <v>69.166666666666671</v>
      </c>
      <c r="H57" s="410">
        <f>$G$57</f>
        <v>69.166666666666671</v>
      </c>
      <c r="I57" s="410">
        <f t="shared" ref="I57:R57" si="10">$G$57</f>
        <v>69.166666666666671</v>
      </c>
      <c r="J57" s="410">
        <f t="shared" si="10"/>
        <v>69.166666666666671</v>
      </c>
      <c r="K57" s="410">
        <f t="shared" si="10"/>
        <v>69.166666666666671</v>
      </c>
      <c r="L57" s="410">
        <f t="shared" si="10"/>
        <v>69.166666666666671</v>
      </c>
      <c r="M57" s="410">
        <f t="shared" si="10"/>
        <v>69.166666666666671</v>
      </c>
      <c r="N57" s="410">
        <f t="shared" si="10"/>
        <v>69.166666666666671</v>
      </c>
      <c r="O57" s="410">
        <f t="shared" si="10"/>
        <v>69.166666666666671</v>
      </c>
      <c r="P57" s="410">
        <f t="shared" si="10"/>
        <v>69.166666666666671</v>
      </c>
      <c r="Q57" s="410">
        <f t="shared" si="10"/>
        <v>69.166666666666671</v>
      </c>
      <c r="R57" s="410">
        <f t="shared" si="10"/>
        <v>69.166666666666671</v>
      </c>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29" t="s">
        <v>341</v>
      </c>
      <c r="C68" s="1030"/>
      <c r="D68" s="701">
        <f>SUM(D38:D67)</f>
        <v>18380</v>
      </c>
      <c r="E68" s="697">
        <f t="shared" si="8"/>
        <v>0</v>
      </c>
      <c r="F68" s="696">
        <f t="shared" si="7"/>
        <v>18380.000000000004</v>
      </c>
      <c r="G68" s="112">
        <f>SUM(G38:G67)</f>
        <v>1819.8333333333335</v>
      </c>
      <c r="H68" s="112">
        <f t="shared" ref="H68:R68" si="11">SUM(H38:H67)</f>
        <v>1152.8333333333335</v>
      </c>
      <c r="I68" s="112">
        <f t="shared" si="11"/>
        <v>1152.8333333333335</v>
      </c>
      <c r="J68" s="112">
        <f t="shared" si="11"/>
        <v>1152.8333333333335</v>
      </c>
      <c r="K68" s="112">
        <f t="shared" si="11"/>
        <v>1819.8333333333335</v>
      </c>
      <c r="L68" s="112">
        <f t="shared" si="11"/>
        <v>2002.8333333333335</v>
      </c>
      <c r="M68" s="112">
        <f t="shared" si="11"/>
        <v>2852.833333333333</v>
      </c>
      <c r="N68" s="112">
        <f t="shared" si="11"/>
        <v>1152.8333333333335</v>
      </c>
      <c r="O68" s="112">
        <f t="shared" si="11"/>
        <v>1818.8333333333335</v>
      </c>
      <c r="P68" s="112">
        <f t="shared" si="11"/>
        <v>1152.8333333333335</v>
      </c>
      <c r="Q68" s="112">
        <f t="shared" si="11"/>
        <v>1152.8333333333335</v>
      </c>
      <c r="R68" s="121">
        <f t="shared" si="11"/>
        <v>1148.8333333333335</v>
      </c>
      <c r="S68" s="110"/>
    </row>
    <row r="69" spans="2:19" s="108" customFormat="1" ht="21.6" customHeight="1" thickBot="1">
      <c r="B69" s="1018" t="s">
        <v>461</v>
      </c>
      <c r="C69" s="1019"/>
      <c r="D69" s="122">
        <f>'données éco.'!AH67</f>
        <v>2246</v>
      </c>
      <c r="E69" s="122">
        <f t="shared" si="8"/>
        <v>0</v>
      </c>
      <c r="F69" s="122">
        <f t="shared" si="7"/>
        <v>2246</v>
      </c>
      <c r="G69" s="414">
        <f>'BP - N+4'!G69</f>
        <v>187.16666666666666</v>
      </c>
      <c r="H69" s="414">
        <f>'BP - N+4'!H69</f>
        <v>187.16666666666666</v>
      </c>
      <c r="I69" s="414">
        <f>'BP - N+4'!I69</f>
        <v>187.16666666666666</v>
      </c>
      <c r="J69" s="414">
        <f>'BP - N+4'!J69</f>
        <v>187.16666666666666</v>
      </c>
      <c r="K69" s="414">
        <f>'BP - N+4'!K69</f>
        <v>187.16666666666666</v>
      </c>
      <c r="L69" s="414">
        <f>'BP - N+4'!L69</f>
        <v>187.16666666666666</v>
      </c>
      <c r="M69" s="414">
        <f>'BP - N+4'!M69</f>
        <v>187.16666666666666</v>
      </c>
      <c r="N69" s="414">
        <f>'BP - N+4'!N69</f>
        <v>187.16666666666666</v>
      </c>
      <c r="O69" s="414">
        <f>'BP - N+4'!O69</f>
        <v>187.16666666666666</v>
      </c>
      <c r="P69" s="414">
        <f>'BP - N+4'!P69</f>
        <v>187.16666666666666</v>
      </c>
      <c r="Q69" s="414">
        <f>'BP - N+4'!Q69</f>
        <v>187.16666666666666</v>
      </c>
      <c r="R69" s="414">
        <f>'BP - N+4'!R69</f>
        <v>187.16666666666666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2">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2"/>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2"/>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2"/>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2"/>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2"/>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2"/>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2"/>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2"/>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2"/>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2"/>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2"/>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2"/>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2"/>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2"/>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2"/>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10500</v>
      </c>
      <c r="E89" s="292">
        <f t="shared" si="12"/>
        <v>0</v>
      </c>
      <c r="F89" s="292">
        <f t="shared" si="7"/>
        <v>10500</v>
      </c>
      <c r="G89" s="412">
        <f>'BP - N+4'!G89</f>
        <v>875</v>
      </c>
      <c r="H89" s="412">
        <f>'BP - N+4'!H89</f>
        <v>875</v>
      </c>
      <c r="I89" s="412">
        <f>'BP - N+4'!I89</f>
        <v>875</v>
      </c>
      <c r="J89" s="412">
        <f>'BP - N+4'!J89</f>
        <v>875</v>
      </c>
      <c r="K89" s="412">
        <f>'BP - N+4'!K89</f>
        <v>875</v>
      </c>
      <c r="L89" s="412">
        <f>'BP - N+4'!L89</f>
        <v>875</v>
      </c>
      <c r="M89" s="412">
        <f>'BP - N+4'!M89</f>
        <v>875</v>
      </c>
      <c r="N89" s="412">
        <f>'BP - N+4'!N89</f>
        <v>875</v>
      </c>
      <c r="O89" s="412">
        <f>'BP - N+4'!O89</f>
        <v>875</v>
      </c>
      <c r="P89" s="412">
        <f>'BP - N+4'!P89</f>
        <v>875</v>
      </c>
      <c r="Q89" s="412">
        <f>'BP - N+4'!Q89</f>
        <v>875</v>
      </c>
      <c r="R89" s="412">
        <f>'BP - N+4'!R89</f>
        <v>875</v>
      </c>
      <c r="S89" s="118"/>
    </row>
    <row r="90" spans="2:19" s="108" customFormat="1" ht="15.75" thickBot="1">
      <c r="B90" s="109"/>
      <c r="C90" s="116" t="str">
        <f>T('données éco.'!B87:D87)</f>
        <v>Notaire</v>
      </c>
      <c r="D90" s="292">
        <f>'données éco.'!AG87</f>
        <v>0</v>
      </c>
      <c r="E90" s="292">
        <f t="shared" si="12"/>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2"/>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2"/>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2"/>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2"/>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2"/>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2"/>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2"/>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29" t="s">
        <v>340</v>
      </c>
      <c r="C98" s="103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18" t="s">
        <v>462</v>
      </c>
      <c r="C99" s="1019"/>
      <c r="D99" s="122">
        <f>'données éco.'!AH95</f>
        <v>3380</v>
      </c>
      <c r="E99" s="122">
        <f t="shared" si="12"/>
        <v>0</v>
      </c>
      <c r="F99" s="293">
        <f t="shared" ref="F99:F112" si="14">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2" t="s">
        <v>330</v>
      </c>
      <c r="C101" s="126" t="s">
        <v>463</v>
      </c>
      <c r="D101" s="127">
        <f>'données éco.'!H207</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éco.'!I207</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51406</v>
      </c>
      <c r="E105" s="130">
        <f>D105-F105</f>
        <v>0</v>
      </c>
      <c r="F105" s="130">
        <f>SUM(G105:R105)</f>
        <v>51406.000000000015</v>
      </c>
      <c r="G105" s="130">
        <f>SUM(G68+G69+G98+G99+G101+G102)</f>
        <v>4572.8333333333339</v>
      </c>
      <c r="H105" s="130">
        <f>SUM(H68+H69+H98+H99+H101+H102)</f>
        <v>3905.8333333333335</v>
      </c>
      <c r="I105" s="130">
        <f>SUM(I68+I69+I98+I99+I101+I102)</f>
        <v>3905.8333333333335</v>
      </c>
      <c r="J105" s="130">
        <f>SUM(J68+J69+J98+J99+J101+J102)</f>
        <v>3905.8333333333335</v>
      </c>
      <c r="K105" s="130">
        <f>SUM(K68+K69+K98+K99+K101+K102)</f>
        <v>4572.8333333333339</v>
      </c>
      <c r="L105" s="130">
        <f t="shared" ref="L105:R105" si="15">SUM(L68+L69+L98+L99+L101+L102)</f>
        <v>4755.8333333333339</v>
      </c>
      <c r="M105" s="130">
        <f t="shared" si="15"/>
        <v>5605.833333333333</v>
      </c>
      <c r="N105" s="130">
        <f t="shared" si="15"/>
        <v>3905.8333333333335</v>
      </c>
      <c r="O105" s="130">
        <f t="shared" si="15"/>
        <v>4571.8333333333339</v>
      </c>
      <c r="P105" s="130">
        <f t="shared" si="15"/>
        <v>3905.8333333333335</v>
      </c>
      <c r="Q105" s="130">
        <f t="shared" si="15"/>
        <v>3905.8333333333335</v>
      </c>
      <c r="R105" s="131">
        <f t="shared" si="15"/>
        <v>3891.8333333333335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Annuités!X104</f>
        <v>7285.1074289304761</v>
      </c>
      <c r="E109" s="293">
        <f>D109-F109</f>
        <v>0.10742893047608959</v>
      </c>
      <c r="F109" s="293">
        <f t="shared" si="14"/>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75">
      <c r="B110" s="1048" t="s">
        <v>332</v>
      </c>
      <c r="C110" s="1049"/>
      <c r="D110" s="694">
        <f>'données éco.'!O261</f>
        <v>57600</v>
      </c>
      <c r="E110" s="127">
        <f>D110-F110</f>
        <v>0</v>
      </c>
      <c r="F110" s="127">
        <f t="shared" si="14"/>
        <v>57600</v>
      </c>
      <c r="G110" s="412">
        <f>D110/12</f>
        <v>4800</v>
      </c>
      <c r="H110" s="412">
        <f>$G$110</f>
        <v>4800</v>
      </c>
      <c r="I110" s="412">
        <f t="shared" ref="I110:R110" si="16">$G$110</f>
        <v>4800</v>
      </c>
      <c r="J110" s="412">
        <f t="shared" si="16"/>
        <v>4800</v>
      </c>
      <c r="K110" s="412">
        <f t="shared" si="16"/>
        <v>4800</v>
      </c>
      <c r="L110" s="412">
        <f t="shared" si="16"/>
        <v>4800</v>
      </c>
      <c r="M110" s="412">
        <f t="shared" si="16"/>
        <v>4800</v>
      </c>
      <c r="N110" s="412">
        <f t="shared" si="16"/>
        <v>4800</v>
      </c>
      <c r="O110" s="412">
        <f t="shared" si="16"/>
        <v>4800</v>
      </c>
      <c r="P110" s="412">
        <f t="shared" si="16"/>
        <v>4800</v>
      </c>
      <c r="Q110" s="412">
        <f t="shared" si="16"/>
        <v>4800</v>
      </c>
      <c r="R110" s="412">
        <f t="shared" si="16"/>
        <v>4800</v>
      </c>
      <c r="S110" s="118"/>
    </row>
    <row r="111" spans="2:23" s="108" customFormat="1" ht="16.5" thickBot="1">
      <c r="B111" s="703" t="s">
        <v>486</v>
      </c>
      <c r="C111" s="704"/>
      <c r="D111" s="707">
        <f>'données éco.'!O250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64885.107428930474</v>
      </c>
      <c r="E112" s="130">
        <f>D112-F112</f>
        <v>0.1074289304742706</v>
      </c>
      <c r="F112" s="130">
        <f t="shared" si="14"/>
        <v>64885</v>
      </c>
      <c r="G112" s="134">
        <f>SUM(G108:G110)-G111</f>
        <v>5407</v>
      </c>
      <c r="H112" s="134">
        <f t="shared" ref="H112:R112" si="17">SUM(H108:H110)-H111</f>
        <v>5407</v>
      </c>
      <c r="I112" s="134">
        <f t="shared" si="17"/>
        <v>5407</v>
      </c>
      <c r="J112" s="134">
        <f t="shared" si="17"/>
        <v>5407</v>
      </c>
      <c r="K112" s="134">
        <f t="shared" si="17"/>
        <v>5407</v>
      </c>
      <c r="L112" s="134">
        <f t="shared" si="17"/>
        <v>5407</v>
      </c>
      <c r="M112" s="134">
        <f t="shared" si="17"/>
        <v>5407</v>
      </c>
      <c r="N112" s="134">
        <f t="shared" si="17"/>
        <v>5407</v>
      </c>
      <c r="O112" s="134">
        <f t="shared" si="17"/>
        <v>5407</v>
      </c>
      <c r="P112" s="134">
        <f t="shared" si="17"/>
        <v>5407</v>
      </c>
      <c r="Q112" s="134">
        <f t="shared" si="17"/>
        <v>5407</v>
      </c>
      <c r="R112" s="135">
        <f t="shared" si="17"/>
        <v>5408</v>
      </c>
      <c r="S112" s="118"/>
      <c r="W112" s="619"/>
    </row>
    <row r="113" spans="2:23" s="108" customFormat="1" ht="16.5" thickBot="1">
      <c r="D113" s="294"/>
      <c r="E113" s="294"/>
      <c r="F113" s="294"/>
      <c r="W113" s="619"/>
    </row>
    <row r="114" spans="2:23" s="136" customFormat="1" ht="26.45" customHeight="1" thickBot="1">
      <c r="B114" s="1016" t="s">
        <v>359</v>
      </c>
      <c r="C114" s="1017"/>
      <c r="D114" s="700">
        <f>D112+D105</f>
        <v>116291.10742893047</v>
      </c>
      <c r="E114" s="130">
        <f>D114-F114</f>
        <v>0.10742893048154656</v>
      </c>
      <c r="F114" s="131">
        <f>SUM(G114:R114)</f>
        <v>116290.99999999999</v>
      </c>
      <c r="G114" s="140">
        <f>G105+G112</f>
        <v>9979.8333333333339</v>
      </c>
      <c r="H114" s="140">
        <f t="shared" ref="H114:R114" si="18">H105+H112</f>
        <v>9312.8333333333339</v>
      </c>
      <c r="I114" s="140">
        <f t="shared" si="18"/>
        <v>9312.8333333333339</v>
      </c>
      <c r="J114" s="140">
        <f t="shared" si="18"/>
        <v>9312.8333333333339</v>
      </c>
      <c r="K114" s="140">
        <f t="shared" si="18"/>
        <v>9979.8333333333339</v>
      </c>
      <c r="L114" s="140">
        <f t="shared" si="18"/>
        <v>10162.833333333334</v>
      </c>
      <c r="M114" s="140">
        <f t="shared" si="18"/>
        <v>11012.833333333332</v>
      </c>
      <c r="N114" s="140">
        <f t="shared" si="18"/>
        <v>9312.8333333333339</v>
      </c>
      <c r="O114" s="140">
        <f t="shared" si="18"/>
        <v>9978.8333333333339</v>
      </c>
      <c r="P114" s="140">
        <f t="shared" si="18"/>
        <v>9312.8333333333339</v>
      </c>
      <c r="Q114" s="140">
        <f t="shared" si="18"/>
        <v>9312.8333333333339</v>
      </c>
      <c r="R114" s="175">
        <f t="shared" si="18"/>
        <v>9299.8333333333339</v>
      </c>
      <c r="S114" s="137"/>
      <c r="W114" s="618"/>
    </row>
    <row r="115" spans="2:23" s="108" customFormat="1" ht="16.5" thickBot="1">
      <c r="B115" s="1014" t="s">
        <v>360</v>
      </c>
      <c r="C115" s="1015"/>
      <c r="D115" s="1015"/>
      <c r="E115" s="1015"/>
      <c r="F115" s="1047"/>
      <c r="G115" s="139">
        <f>G36-G114</f>
        <v>-696.97916666666788</v>
      </c>
      <c r="H115" s="139">
        <f t="shared" ref="H115:R115" si="19">H36-H114</f>
        <v>-5154.979166666667</v>
      </c>
      <c r="I115" s="139">
        <f t="shared" si="19"/>
        <v>590.02083333333212</v>
      </c>
      <c r="J115" s="139">
        <f t="shared" si="19"/>
        <v>6676.0208333333321</v>
      </c>
      <c r="K115" s="139">
        <f t="shared" si="19"/>
        <v>2589.0208333333321</v>
      </c>
      <c r="L115" s="139">
        <f t="shared" si="19"/>
        <v>3367.0208333333321</v>
      </c>
      <c r="M115" s="139">
        <f t="shared" si="19"/>
        <v>4233.0208333333339</v>
      </c>
      <c r="N115" s="139">
        <f t="shared" si="19"/>
        <v>-2271.979166666667</v>
      </c>
      <c r="O115" s="139">
        <f t="shared" si="19"/>
        <v>471.02083333333212</v>
      </c>
      <c r="P115" s="139">
        <f t="shared" si="19"/>
        <v>3596.0208333333321</v>
      </c>
      <c r="Q115" s="139">
        <f t="shared" si="19"/>
        <v>-5154.979166666667</v>
      </c>
      <c r="R115" s="176">
        <f t="shared" si="19"/>
        <v>-2485.979166666667</v>
      </c>
      <c r="S115" s="118"/>
    </row>
    <row r="116" spans="2:23" s="108" customFormat="1" ht="18.75" thickBot="1">
      <c r="B116" s="617" t="s">
        <v>464</v>
      </c>
      <c r="C116" s="689" t="s">
        <v>520</v>
      </c>
      <c r="D116" s="706">
        <f>'données TK'!E5</f>
        <v>1</v>
      </c>
      <c r="E116" s="130"/>
      <c r="F116" s="182">
        <f>SUM(G116:R116)</f>
        <v>-102.24999999999977</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-25.562500000000114</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-25.562499999999886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-25.562499999999886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-25.562499999999886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4" t="s">
        <v>487</v>
      </c>
      <c r="C117" s="1015"/>
      <c r="D117" s="1015"/>
      <c r="E117" s="1015"/>
      <c r="F117" s="1047"/>
      <c r="G117" s="141">
        <f>IF(G116="",G6+G115,G6+G115+G116)</f>
        <v>29103.062499999996</v>
      </c>
      <c r="H117" s="141">
        <f t="shared" ref="H117:R117" si="20">IF(H116="",H6+H115,H6+H115+H116)</f>
        <v>23922.520833333328</v>
      </c>
      <c r="I117" s="141">
        <f t="shared" si="20"/>
        <v>24512.541666666661</v>
      </c>
      <c r="J117" s="141">
        <f t="shared" si="20"/>
        <v>31188.562499999993</v>
      </c>
      <c r="K117" s="141">
        <f t="shared" si="20"/>
        <v>33752.020833333328</v>
      </c>
      <c r="L117" s="141">
        <f t="shared" si="20"/>
        <v>37119.041666666657</v>
      </c>
      <c r="M117" s="141">
        <f t="shared" si="20"/>
        <v>41352.062499999993</v>
      </c>
      <c r="N117" s="141">
        <f t="shared" si="20"/>
        <v>39054.520833333328</v>
      </c>
      <c r="O117" s="141">
        <f t="shared" si="20"/>
        <v>39525.541666666657</v>
      </c>
      <c r="P117" s="141">
        <f t="shared" si="20"/>
        <v>43121.562499999985</v>
      </c>
      <c r="Q117" s="141">
        <f t="shared" si="20"/>
        <v>37941.020833333321</v>
      </c>
      <c r="R117" s="141">
        <f t="shared" si="20"/>
        <v>35455.041666666657</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58"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411</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N+5'!R117</f>
        <v>35455.041666666657</v>
      </c>
      <c r="H6" s="179">
        <f>G117</f>
        <v>34758.062499999985</v>
      </c>
      <c r="I6" s="179">
        <f t="shared" ref="I6:R6" si="0">H117</f>
        <v>29577.520833333318</v>
      </c>
      <c r="J6" s="179">
        <f t="shared" si="0"/>
        <v>30167.54166666665</v>
      </c>
      <c r="K6" s="179">
        <f t="shared" si="0"/>
        <v>36843.562499999985</v>
      </c>
      <c r="L6" s="179">
        <f t="shared" si="0"/>
        <v>39407.020833333314</v>
      </c>
      <c r="M6" s="179">
        <f t="shared" si="0"/>
        <v>42774.041666666642</v>
      </c>
      <c r="N6" s="179">
        <f t="shared" si="0"/>
        <v>47007.062499999978</v>
      </c>
      <c r="O6" s="179">
        <f t="shared" si="0"/>
        <v>44709.520833333314</v>
      </c>
      <c r="P6" s="179">
        <f t="shared" si="0"/>
        <v>45180.541666666642</v>
      </c>
      <c r="Q6" s="179">
        <f t="shared" si="0"/>
        <v>48776.562499999971</v>
      </c>
      <c r="R6" s="180">
        <f t="shared" si="0"/>
        <v>43596.020833333307</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Fraises</v>
      </c>
      <c r="D11" s="291">
        <f>'données éco.'!AM13</f>
        <v>15400</v>
      </c>
      <c r="E11" s="291">
        <f t="shared" si="1"/>
        <v>0</v>
      </c>
      <c r="F11" s="291">
        <f t="shared" si="2"/>
        <v>15400</v>
      </c>
      <c r="G11" s="410">
        <f>'BP - N+5'!G11</f>
        <v>0</v>
      </c>
      <c r="H11" s="410">
        <f>'BP - N+5'!H11</f>
        <v>0</v>
      </c>
      <c r="I11" s="410">
        <f>'BP - N+5'!I11</f>
        <v>3080</v>
      </c>
      <c r="J11" s="410">
        <f>'BP - N+5'!J11</f>
        <v>3080</v>
      </c>
      <c r="K11" s="410">
        <f>'BP - N+5'!K11</f>
        <v>3080</v>
      </c>
      <c r="L11" s="410">
        <f>'BP - N+5'!L11</f>
        <v>3080</v>
      </c>
      <c r="M11" s="410">
        <f>'BP - N+5'!M11</f>
        <v>3080</v>
      </c>
      <c r="N11" s="410">
        <f>'BP - N+5'!N11</f>
        <v>0</v>
      </c>
      <c r="O11" s="410">
        <f>'BP - N+5'!O11</f>
        <v>0</v>
      </c>
      <c r="P11" s="410">
        <f>'BP - N+5'!P11</f>
        <v>0</v>
      </c>
      <c r="Q11" s="410">
        <f>'BP - N+5'!Q11</f>
        <v>0</v>
      </c>
      <c r="R11" s="410">
        <f>'BP - N+5'!R11</f>
        <v>0</v>
      </c>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éco.'!AM31</f>
        <v>106150</v>
      </c>
      <c r="E29" s="696">
        <f t="shared" si="1"/>
        <v>0</v>
      </c>
      <c r="F29" s="696">
        <f t="shared" si="2"/>
        <v>106150</v>
      </c>
      <c r="G29" s="112">
        <f>SUM(G7:G28)</f>
        <v>7958</v>
      </c>
      <c r="H29" s="112">
        <f t="shared" ref="H29:R29" si="3">SUM(H7:H28)</f>
        <v>2833</v>
      </c>
      <c r="I29" s="112">
        <f t="shared" si="3"/>
        <v>8578</v>
      </c>
      <c r="J29" s="112">
        <f t="shared" si="3"/>
        <v>14664</v>
      </c>
      <c r="K29" s="112">
        <f t="shared" si="3"/>
        <v>11244</v>
      </c>
      <c r="L29" s="112">
        <f t="shared" si="3"/>
        <v>12205</v>
      </c>
      <c r="M29" s="112">
        <f t="shared" si="3"/>
        <v>13921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10170</v>
      </c>
      <c r="E30" s="291">
        <f t="shared" si="1"/>
        <v>0</v>
      </c>
      <c r="F30" s="291">
        <f t="shared" si="2"/>
        <v>10170</v>
      </c>
      <c r="G30" s="410">
        <f>'BP - N+5'!G30</f>
        <v>847.5</v>
      </c>
      <c r="H30" s="410">
        <f>'BP - N+5'!H30</f>
        <v>847.5</v>
      </c>
      <c r="I30" s="410">
        <f>'BP - N+5'!I30</f>
        <v>847.5</v>
      </c>
      <c r="J30" s="410">
        <f>'BP - N+5'!J30</f>
        <v>847.5</v>
      </c>
      <c r="K30" s="410">
        <f>'BP - N+5'!K30</f>
        <v>847.5</v>
      </c>
      <c r="L30" s="410">
        <f>'BP - N+5'!L30</f>
        <v>847.5</v>
      </c>
      <c r="M30" s="410">
        <f>'BP - N+5'!M30</f>
        <v>847.5</v>
      </c>
      <c r="N30" s="410">
        <f>'BP - N+5'!N30</f>
        <v>847.5</v>
      </c>
      <c r="O30" s="410">
        <f>'BP - N+5'!O30</f>
        <v>847.5</v>
      </c>
      <c r="P30" s="410">
        <f>'BP - N+5'!P30</f>
        <v>847.5</v>
      </c>
      <c r="Q30" s="410">
        <f>'BP - N+5'!Q30</f>
        <v>847.5</v>
      </c>
      <c r="R30" s="411">
        <f>'BP - N+5'!R30</f>
        <v>847.5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116320</v>
      </c>
      <c r="G34" s="112">
        <f>SUM(G29:G33)</f>
        <v>8805.5</v>
      </c>
      <c r="H34" s="112">
        <f t="shared" ref="H34:R34" si="4">SUM(H29:H33)</f>
        <v>3680.5</v>
      </c>
      <c r="I34" s="112">
        <f t="shared" si="4"/>
        <v>9425.5</v>
      </c>
      <c r="J34" s="112">
        <f t="shared" si="4"/>
        <v>15511.5</v>
      </c>
      <c r="K34" s="112">
        <f t="shared" si="4"/>
        <v>12091.5</v>
      </c>
      <c r="L34" s="112">
        <f t="shared" si="4"/>
        <v>13052.5</v>
      </c>
      <c r="M34" s="112">
        <f t="shared" si="4"/>
        <v>14768.5</v>
      </c>
      <c r="N34" s="112">
        <f t="shared" si="4"/>
        <v>6563.5</v>
      </c>
      <c r="O34" s="112">
        <f t="shared" si="4"/>
        <v>9972.5</v>
      </c>
      <c r="P34" s="112">
        <f t="shared" si="4"/>
        <v>12431.5</v>
      </c>
      <c r="Q34" s="112">
        <f t="shared" si="4"/>
        <v>3680.5</v>
      </c>
      <c r="R34" s="121">
        <f t="shared" si="4"/>
        <v>6336.5</v>
      </c>
    </row>
    <row r="35" spans="2:19" s="108" customFormat="1" ht="15.75">
      <c r="B35" s="1025" t="s">
        <v>460</v>
      </c>
      <c r="C35" s="1026"/>
      <c r="D35" s="115">
        <f>'données éco.'!AL31</f>
        <v>5728.25</v>
      </c>
      <c r="E35" s="291">
        <f t="shared" ref="E35:E36" si="5">D35-F35</f>
        <v>0</v>
      </c>
      <c r="F35" s="291">
        <f t="shared" si="2"/>
        <v>5728.2500000000009</v>
      </c>
      <c r="G35" s="410">
        <f>'BP - N+5'!G35</f>
        <v>477.35416666666669</v>
      </c>
      <c r="H35" s="410">
        <f>'BP - N+5'!H35</f>
        <v>477.35416666666669</v>
      </c>
      <c r="I35" s="410">
        <f>'BP - N+5'!I35</f>
        <v>477.35416666666669</v>
      </c>
      <c r="J35" s="410">
        <f>'BP - N+5'!J35</f>
        <v>477.35416666666669</v>
      </c>
      <c r="K35" s="410">
        <f>'BP - N+5'!K35</f>
        <v>477.35416666666669</v>
      </c>
      <c r="L35" s="410">
        <f>'BP - N+5'!L35</f>
        <v>477.35416666666669</v>
      </c>
      <c r="M35" s="410">
        <f>'BP - N+5'!M35</f>
        <v>477.35416666666669</v>
      </c>
      <c r="N35" s="410">
        <f>'BP - N+5'!N35</f>
        <v>477.35416666666669</v>
      </c>
      <c r="O35" s="410">
        <f>'BP - N+5'!O35</f>
        <v>477.35416666666669</v>
      </c>
      <c r="P35" s="410">
        <f>'BP - N+5'!P35</f>
        <v>477.35416666666669</v>
      </c>
      <c r="Q35" s="410">
        <f>'BP - N+5'!Q35</f>
        <v>477.35416666666669</v>
      </c>
      <c r="R35" s="411">
        <f>'BP - N+5'!R35</f>
        <v>477.35416666666669</v>
      </c>
    </row>
    <row r="36" spans="2:19" s="108" customFormat="1" ht="16.5" thickBot="1">
      <c r="B36" s="1033" t="s">
        <v>344</v>
      </c>
      <c r="C36" s="1034"/>
      <c r="D36" s="698">
        <f>'données éco.'!AN31+D30+D31+D32+D33</f>
        <v>122048.25</v>
      </c>
      <c r="E36" s="698">
        <f t="shared" si="5"/>
        <v>0</v>
      </c>
      <c r="F36" s="698">
        <f t="shared" si="2"/>
        <v>122048.25000000001</v>
      </c>
      <c r="G36" s="138">
        <f>G34+G35</f>
        <v>9282.8541666666661</v>
      </c>
      <c r="H36" s="138">
        <f t="shared" ref="H36:R36" si="6">H34+H35</f>
        <v>4157.854166666667</v>
      </c>
      <c r="I36" s="138">
        <f t="shared" si="6"/>
        <v>9902.8541666666661</v>
      </c>
      <c r="J36" s="138">
        <f t="shared" si="6"/>
        <v>15988.854166666666</v>
      </c>
      <c r="K36" s="138">
        <f t="shared" si="6"/>
        <v>12568.854166666666</v>
      </c>
      <c r="L36" s="138">
        <f t="shared" si="6"/>
        <v>13529.854166666666</v>
      </c>
      <c r="M36" s="138">
        <f t="shared" si="6"/>
        <v>15245.854166666666</v>
      </c>
      <c r="N36" s="138">
        <f t="shared" si="6"/>
        <v>7040.854166666667</v>
      </c>
      <c r="O36" s="138">
        <f t="shared" si="6"/>
        <v>10449.854166666666</v>
      </c>
      <c r="P36" s="138">
        <f t="shared" si="6"/>
        <v>12908.854166666666</v>
      </c>
      <c r="Q36" s="138">
        <f t="shared" si="6"/>
        <v>4157.854166666667</v>
      </c>
      <c r="R36" s="174">
        <f t="shared" si="6"/>
        <v>6813.854166666667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2550</v>
      </c>
      <c r="E52" s="292">
        <f t="shared" si="8"/>
        <v>0</v>
      </c>
      <c r="F52" s="292">
        <f t="shared" si="7"/>
        <v>2550</v>
      </c>
      <c r="G52" s="410">
        <f>'BP - N+5'!G52</f>
        <v>0</v>
      </c>
      <c r="H52" s="410">
        <f>'BP - N+5'!H52</f>
        <v>0</v>
      </c>
      <c r="I52" s="410">
        <f>'BP - N+5'!I52</f>
        <v>0</v>
      </c>
      <c r="J52" s="410">
        <f>'BP - N+5'!J52</f>
        <v>0</v>
      </c>
      <c r="K52" s="410">
        <f>'BP - N+5'!K52</f>
        <v>0</v>
      </c>
      <c r="L52" s="410">
        <f>'BP - N+5'!L52</f>
        <v>850</v>
      </c>
      <c r="M52" s="410">
        <f>'BP - N+5'!M52</f>
        <v>1700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7000</v>
      </c>
      <c r="E53" s="292">
        <f t="shared" si="8"/>
        <v>0</v>
      </c>
      <c r="F53" s="292">
        <f t="shared" si="7"/>
        <v>6999.9999999999991</v>
      </c>
      <c r="G53" s="410">
        <f>'BP - N+5'!G53</f>
        <v>583.33333333333337</v>
      </c>
      <c r="H53" s="410">
        <f>'BP - N+5'!H53</f>
        <v>583.33333333333337</v>
      </c>
      <c r="I53" s="410">
        <f>'BP - N+5'!I53</f>
        <v>583.33333333333337</v>
      </c>
      <c r="J53" s="410">
        <f>'BP - N+5'!J53</f>
        <v>583.33333333333337</v>
      </c>
      <c r="K53" s="410">
        <f>'BP - N+5'!K53</f>
        <v>583.33333333333337</v>
      </c>
      <c r="L53" s="410">
        <f>'BP - N+5'!L53</f>
        <v>583.33333333333337</v>
      </c>
      <c r="M53" s="410">
        <f>'BP - N+5'!M53</f>
        <v>583.33333333333337</v>
      </c>
      <c r="N53" s="410">
        <f>'BP - N+5'!N53</f>
        <v>583.33333333333337</v>
      </c>
      <c r="O53" s="410">
        <f>'BP - N+5'!O53</f>
        <v>583.33333333333337</v>
      </c>
      <c r="P53" s="410">
        <f>'BP - N+5'!P53</f>
        <v>583.33333333333337</v>
      </c>
      <c r="Q53" s="410">
        <f>'BP - N+5'!Q53</f>
        <v>583.33333333333337</v>
      </c>
      <c r="R53" s="411">
        <f>'BP - N+5'!R53</f>
        <v>583.33333333333337</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éco.'!AL55</f>
        <v>2000</v>
      </c>
      <c r="E56" s="292">
        <f t="shared" si="8"/>
        <v>0</v>
      </c>
      <c r="F56" s="291">
        <f t="shared" si="7"/>
        <v>2000.0000000000002</v>
      </c>
      <c r="G56" s="410">
        <f>'BP - N+5'!G56</f>
        <v>166.66666666666666</v>
      </c>
      <c r="H56" s="410">
        <f>G$56</f>
        <v>166.66666666666666</v>
      </c>
      <c r="I56" s="410">
        <f t="shared" ref="I56:R56" si="9">H$56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
      <c r="B57" s="109"/>
      <c r="C57" s="116" t="str">
        <f>T('données éco.'!B56:D56)</f>
        <v>Charges opé pépi</v>
      </c>
      <c r="D57" s="291">
        <f>'données éco.'!AL56</f>
        <v>830</v>
      </c>
      <c r="E57" s="292">
        <f t="shared" si="8"/>
        <v>0</v>
      </c>
      <c r="F57" s="291">
        <f t="shared" si="7"/>
        <v>829.99999999999989</v>
      </c>
      <c r="G57" s="410">
        <f>'BP - N+5'!G57</f>
        <v>69.166666666666671</v>
      </c>
      <c r="H57" s="410">
        <f>$G$57</f>
        <v>69.166666666666671</v>
      </c>
      <c r="I57" s="410">
        <f t="shared" ref="I57:R57" si="10">$G$57</f>
        <v>69.166666666666671</v>
      </c>
      <c r="J57" s="410">
        <f t="shared" si="10"/>
        <v>69.166666666666671</v>
      </c>
      <c r="K57" s="410">
        <f t="shared" si="10"/>
        <v>69.166666666666671</v>
      </c>
      <c r="L57" s="410">
        <f t="shared" si="10"/>
        <v>69.166666666666671</v>
      </c>
      <c r="M57" s="410">
        <f t="shared" si="10"/>
        <v>69.166666666666671</v>
      </c>
      <c r="N57" s="410">
        <f t="shared" si="10"/>
        <v>69.166666666666671</v>
      </c>
      <c r="O57" s="410">
        <f t="shared" si="10"/>
        <v>69.166666666666671</v>
      </c>
      <c r="P57" s="410">
        <f t="shared" si="10"/>
        <v>69.166666666666671</v>
      </c>
      <c r="Q57" s="410">
        <f t="shared" si="10"/>
        <v>69.166666666666671</v>
      </c>
      <c r="R57" s="410">
        <f t="shared" si="10"/>
        <v>69.166666666666671</v>
      </c>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29" t="s">
        <v>341</v>
      </c>
      <c r="C68" s="1030"/>
      <c r="D68" s="697">
        <f>SUM(D38:D67)</f>
        <v>18380</v>
      </c>
      <c r="E68" s="697">
        <f t="shared" si="8"/>
        <v>0</v>
      </c>
      <c r="F68" s="697">
        <f t="shared" si="7"/>
        <v>18380.000000000004</v>
      </c>
      <c r="G68" s="112">
        <f>SUM(G38:G67)</f>
        <v>1819.8333333333335</v>
      </c>
      <c r="H68" s="112">
        <f t="shared" ref="H68:R68" si="11">SUM(H38:H67)</f>
        <v>1152.8333333333335</v>
      </c>
      <c r="I68" s="112">
        <f t="shared" si="11"/>
        <v>1152.8333333333335</v>
      </c>
      <c r="J68" s="112">
        <f t="shared" si="11"/>
        <v>1152.8333333333335</v>
      </c>
      <c r="K68" s="112">
        <f t="shared" si="11"/>
        <v>1819.8333333333335</v>
      </c>
      <c r="L68" s="112">
        <f t="shared" si="11"/>
        <v>2002.8333333333335</v>
      </c>
      <c r="M68" s="112">
        <f t="shared" si="11"/>
        <v>2852.833333333333</v>
      </c>
      <c r="N68" s="112">
        <f t="shared" si="11"/>
        <v>1152.8333333333335</v>
      </c>
      <c r="O68" s="112">
        <f t="shared" si="11"/>
        <v>1818.8333333333335</v>
      </c>
      <c r="P68" s="112">
        <f t="shared" si="11"/>
        <v>1152.8333333333335</v>
      </c>
      <c r="Q68" s="112">
        <f t="shared" si="11"/>
        <v>1152.8333333333335</v>
      </c>
      <c r="R68" s="121">
        <f t="shared" si="11"/>
        <v>1148.8333333333335</v>
      </c>
      <c r="S68" s="110"/>
    </row>
    <row r="69" spans="2:19" s="108" customFormat="1" ht="21.6" customHeight="1" thickBot="1">
      <c r="B69" s="1018" t="s">
        <v>461</v>
      </c>
      <c r="C69" s="1019"/>
      <c r="D69" s="122">
        <f>'données éco.'!AM67</f>
        <v>2246</v>
      </c>
      <c r="E69" s="122">
        <f t="shared" si="8"/>
        <v>0</v>
      </c>
      <c r="F69" s="291">
        <f t="shared" si="7"/>
        <v>2246</v>
      </c>
      <c r="G69" s="414">
        <f>'BP - N+5'!G69</f>
        <v>187.16666666666666</v>
      </c>
      <c r="H69" s="414">
        <f>'BP - N+5'!H69</f>
        <v>187.16666666666666</v>
      </c>
      <c r="I69" s="414">
        <f>'BP - N+5'!I69</f>
        <v>187.16666666666666</v>
      </c>
      <c r="J69" s="414">
        <f>'BP - N+5'!J69</f>
        <v>187.16666666666666</v>
      </c>
      <c r="K69" s="414">
        <f>'BP - N+5'!K69</f>
        <v>187.16666666666666</v>
      </c>
      <c r="L69" s="414">
        <f>'BP - N+5'!L69</f>
        <v>187.16666666666666</v>
      </c>
      <c r="M69" s="414">
        <f>'BP - N+5'!M69</f>
        <v>187.16666666666666</v>
      </c>
      <c r="N69" s="414">
        <f>'BP - N+5'!N69</f>
        <v>187.16666666666666</v>
      </c>
      <c r="O69" s="414">
        <f>'BP - N+5'!O69</f>
        <v>187.16666666666666</v>
      </c>
      <c r="P69" s="414">
        <f>'BP - N+5'!P69</f>
        <v>187.16666666666666</v>
      </c>
      <c r="Q69" s="414">
        <f>'BP - N+5'!Q69</f>
        <v>187.16666666666666</v>
      </c>
      <c r="R69" s="415">
        <f>'BP - N+5'!R69</f>
        <v>187.16666666666666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2">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2"/>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2"/>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2"/>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2"/>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2"/>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2"/>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2"/>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2"/>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2"/>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2"/>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2"/>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2"/>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2"/>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2"/>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2"/>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10500</v>
      </c>
      <c r="E89" s="292">
        <f t="shared" si="12"/>
        <v>0</v>
      </c>
      <c r="F89" s="292">
        <f t="shared" si="7"/>
        <v>10500</v>
      </c>
      <c r="G89" s="410">
        <f>'BP - N+5'!G89</f>
        <v>875</v>
      </c>
      <c r="H89" s="410">
        <f>'BP - N+5'!H89</f>
        <v>875</v>
      </c>
      <c r="I89" s="410">
        <f>'BP - N+5'!I89</f>
        <v>875</v>
      </c>
      <c r="J89" s="410">
        <f>'BP - N+5'!J89</f>
        <v>875</v>
      </c>
      <c r="K89" s="410">
        <f>'BP - N+5'!K89</f>
        <v>875</v>
      </c>
      <c r="L89" s="410">
        <f>'BP - N+5'!L89</f>
        <v>875</v>
      </c>
      <c r="M89" s="410">
        <f>'BP - N+5'!M89</f>
        <v>875</v>
      </c>
      <c r="N89" s="410">
        <f>'BP - N+5'!N89</f>
        <v>875</v>
      </c>
      <c r="O89" s="410">
        <f>'BP - N+5'!O89</f>
        <v>875</v>
      </c>
      <c r="P89" s="410">
        <f>'BP - N+5'!P89</f>
        <v>875</v>
      </c>
      <c r="Q89" s="410">
        <f>'BP - N+5'!Q89</f>
        <v>875</v>
      </c>
      <c r="R89" s="411">
        <f>'BP - N+5'!R89</f>
        <v>875</v>
      </c>
      <c r="S89" s="118"/>
    </row>
    <row r="90" spans="2:19" s="108" customFormat="1" ht="15">
      <c r="B90" s="109"/>
      <c r="C90" s="116" t="str">
        <f>T('données éco.'!B87:D87)</f>
        <v>Notaire</v>
      </c>
      <c r="D90" s="292">
        <f>'données éco.'!AL87</f>
        <v>0</v>
      </c>
      <c r="E90" s="292">
        <f t="shared" si="12"/>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2"/>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2"/>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2"/>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2"/>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2"/>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2"/>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2"/>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29" t="s">
        <v>340</v>
      </c>
      <c r="C98" s="103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18" t="s">
        <v>462</v>
      </c>
      <c r="C99" s="1019"/>
      <c r="D99" s="122">
        <f>'données éco.'!AM95</f>
        <v>3380</v>
      </c>
      <c r="E99" s="122">
        <f t="shared" si="12"/>
        <v>0</v>
      </c>
      <c r="F99" s="293">
        <f t="shared" ref="F99:F112" si="14">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2" t="s">
        <v>330</v>
      </c>
      <c r="C101" s="126" t="s">
        <v>463</v>
      </c>
      <c r="D101" s="127">
        <f>'données éco.'!H225</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éco.'!I225</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51406</v>
      </c>
      <c r="E105" s="130">
        <f>D105-F105</f>
        <v>0</v>
      </c>
      <c r="F105" s="130">
        <f>SUM(G105:R105)</f>
        <v>51406.000000000015</v>
      </c>
      <c r="G105" s="130">
        <f>SUM(G68+G69+G98+G99+G101+G102)</f>
        <v>4572.8333333333339</v>
      </c>
      <c r="H105" s="130">
        <f>SUM(H68+H69+H98+H99+H101+H102)</f>
        <v>3905.8333333333335</v>
      </c>
      <c r="I105" s="130">
        <f>SUM(I68+I69+I98+I99+I101+I102)</f>
        <v>3905.8333333333335</v>
      </c>
      <c r="J105" s="130">
        <f>SUM(J68+J69+J98+J99+J101+J102)</f>
        <v>3905.8333333333335</v>
      </c>
      <c r="K105" s="130">
        <f>SUM(K68+K69+K98+K99+K101+K102)</f>
        <v>4572.8333333333339</v>
      </c>
      <c r="L105" s="130">
        <f t="shared" ref="L105:R105" si="15">SUM(L68+L69+L98+L99+L101+L102)</f>
        <v>4755.8333333333339</v>
      </c>
      <c r="M105" s="130">
        <f t="shared" si="15"/>
        <v>5605.833333333333</v>
      </c>
      <c r="N105" s="130">
        <f t="shared" si="15"/>
        <v>3905.8333333333335</v>
      </c>
      <c r="O105" s="130">
        <f t="shared" si="15"/>
        <v>4571.8333333333339</v>
      </c>
      <c r="P105" s="130">
        <f t="shared" si="15"/>
        <v>3905.8333333333335</v>
      </c>
      <c r="Q105" s="130">
        <f t="shared" si="15"/>
        <v>3905.8333333333335</v>
      </c>
      <c r="R105" s="131">
        <f t="shared" si="15"/>
        <v>3891.8333333333335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Annuités!AA104</f>
        <v>7285.1074289304761</v>
      </c>
      <c r="E109" s="293">
        <f>D109-F109</f>
        <v>0.10742893047608959</v>
      </c>
      <c r="F109" s="293">
        <f t="shared" si="14"/>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75">
      <c r="B110" s="1048" t="s">
        <v>332</v>
      </c>
      <c r="C110" s="1049"/>
      <c r="D110" s="694">
        <f>'données éco.'!Q261</f>
        <v>57600</v>
      </c>
      <c r="E110" s="127">
        <f>D110-F110</f>
        <v>0</v>
      </c>
      <c r="F110" s="127">
        <f t="shared" si="14"/>
        <v>57600</v>
      </c>
      <c r="G110" s="412">
        <f>'BP - N+5'!G110</f>
        <v>4800</v>
      </c>
      <c r="H110" s="412">
        <f>'BP - N+5'!H110</f>
        <v>4800</v>
      </c>
      <c r="I110" s="412">
        <f>'BP - N+5'!I110</f>
        <v>4800</v>
      </c>
      <c r="J110" s="412">
        <f>'BP - N+5'!J110</f>
        <v>4800</v>
      </c>
      <c r="K110" s="412">
        <f>'BP - N+5'!K110</f>
        <v>4800</v>
      </c>
      <c r="L110" s="412">
        <f>'BP - N+5'!L110</f>
        <v>4800</v>
      </c>
      <c r="M110" s="412">
        <f>'BP - N+5'!M110</f>
        <v>4800</v>
      </c>
      <c r="N110" s="412">
        <f>'BP - N+5'!N110</f>
        <v>4800</v>
      </c>
      <c r="O110" s="412">
        <f>'BP - N+5'!O110</f>
        <v>4800</v>
      </c>
      <c r="P110" s="412">
        <f>'BP - N+5'!P110</f>
        <v>4800</v>
      </c>
      <c r="Q110" s="412">
        <f>'BP - N+5'!Q110</f>
        <v>4800</v>
      </c>
      <c r="R110" s="413">
        <f>'BP - N+5'!R110</f>
        <v>4800</v>
      </c>
      <c r="S110" s="118"/>
    </row>
    <row r="111" spans="2:23" s="108" customFormat="1" ht="16.5" thickBot="1">
      <c r="B111" s="703" t="s">
        <v>486</v>
      </c>
      <c r="C111" s="704"/>
      <c r="D111" s="707">
        <f>'données éco.'!Q250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64885.107428930474</v>
      </c>
      <c r="E112" s="130">
        <f>D112-F112</f>
        <v>0.1074289304742706</v>
      </c>
      <c r="F112" s="130">
        <f t="shared" si="14"/>
        <v>64885</v>
      </c>
      <c r="G112" s="134">
        <f>SUM(G108:G110)-G111</f>
        <v>5407</v>
      </c>
      <c r="H112" s="134">
        <f t="shared" ref="H112:R112" si="16">SUM(H108:H110)-H111</f>
        <v>5407</v>
      </c>
      <c r="I112" s="134">
        <f t="shared" si="16"/>
        <v>5407</v>
      </c>
      <c r="J112" s="134">
        <f t="shared" si="16"/>
        <v>5407</v>
      </c>
      <c r="K112" s="134">
        <f t="shared" si="16"/>
        <v>5407</v>
      </c>
      <c r="L112" s="134">
        <f t="shared" si="16"/>
        <v>5407</v>
      </c>
      <c r="M112" s="134">
        <f t="shared" si="16"/>
        <v>5407</v>
      </c>
      <c r="N112" s="134">
        <f t="shared" si="16"/>
        <v>5407</v>
      </c>
      <c r="O112" s="134">
        <f t="shared" si="16"/>
        <v>5407</v>
      </c>
      <c r="P112" s="134">
        <f t="shared" si="16"/>
        <v>5407</v>
      </c>
      <c r="Q112" s="134">
        <f t="shared" si="16"/>
        <v>5407</v>
      </c>
      <c r="R112" s="135">
        <f t="shared" si="16"/>
        <v>5408</v>
      </c>
      <c r="S112" s="118"/>
      <c r="W112" s="619"/>
    </row>
    <row r="113" spans="2:23" s="108" customFormat="1" ht="16.5" thickBot="1">
      <c r="D113" s="294"/>
      <c r="E113" s="294"/>
      <c r="F113" s="294"/>
      <c r="W113" s="619"/>
    </row>
    <row r="114" spans="2:23" s="136" customFormat="1" ht="26.45" customHeight="1" thickBot="1">
      <c r="B114" s="1016" t="s">
        <v>359</v>
      </c>
      <c r="C114" s="1017"/>
      <c r="D114" s="700">
        <f>D112+D105</f>
        <v>116291.10742893047</v>
      </c>
      <c r="E114" s="130">
        <f>D114-F114</f>
        <v>0.10742893048154656</v>
      </c>
      <c r="F114" s="131">
        <f>SUM(G114:R114)</f>
        <v>116290.99999999999</v>
      </c>
      <c r="G114" s="140">
        <f>G105+G112</f>
        <v>9979.8333333333339</v>
      </c>
      <c r="H114" s="140">
        <f t="shared" ref="H114:R114" si="17">H105+H112</f>
        <v>9312.8333333333339</v>
      </c>
      <c r="I114" s="140">
        <f t="shared" si="17"/>
        <v>9312.8333333333339</v>
      </c>
      <c r="J114" s="140">
        <f t="shared" si="17"/>
        <v>9312.8333333333339</v>
      </c>
      <c r="K114" s="140">
        <f t="shared" si="17"/>
        <v>9979.8333333333339</v>
      </c>
      <c r="L114" s="140">
        <f t="shared" si="17"/>
        <v>10162.833333333334</v>
      </c>
      <c r="M114" s="140">
        <f t="shared" si="17"/>
        <v>11012.833333333332</v>
      </c>
      <c r="N114" s="140">
        <f t="shared" si="17"/>
        <v>9312.8333333333339</v>
      </c>
      <c r="O114" s="140">
        <f t="shared" si="17"/>
        <v>9978.8333333333339</v>
      </c>
      <c r="P114" s="140">
        <f t="shared" si="17"/>
        <v>9312.8333333333339</v>
      </c>
      <c r="Q114" s="140">
        <f t="shared" si="17"/>
        <v>9312.8333333333339</v>
      </c>
      <c r="R114" s="175">
        <f t="shared" si="17"/>
        <v>9299.8333333333339</v>
      </c>
      <c r="S114" s="137"/>
      <c r="W114" s="618"/>
    </row>
    <row r="115" spans="2:23" s="108" customFormat="1" ht="16.5" thickBot="1">
      <c r="B115" s="1014" t="s">
        <v>360</v>
      </c>
      <c r="C115" s="1015"/>
      <c r="D115" s="1015"/>
      <c r="E115" s="1015"/>
      <c r="F115" s="1047"/>
      <c r="G115" s="139">
        <f>G36-G114</f>
        <v>-696.97916666666788</v>
      </c>
      <c r="H115" s="139">
        <f t="shared" ref="H115:R115" si="18">H36-H114</f>
        <v>-5154.979166666667</v>
      </c>
      <c r="I115" s="139">
        <f t="shared" si="18"/>
        <v>590.02083333333212</v>
      </c>
      <c r="J115" s="139">
        <f t="shared" si="18"/>
        <v>6676.0208333333321</v>
      </c>
      <c r="K115" s="139">
        <f t="shared" si="18"/>
        <v>2589.0208333333321</v>
      </c>
      <c r="L115" s="139">
        <f t="shared" si="18"/>
        <v>3367.0208333333321</v>
      </c>
      <c r="M115" s="139">
        <f t="shared" si="18"/>
        <v>4233.0208333333339</v>
      </c>
      <c r="N115" s="139">
        <f t="shared" si="18"/>
        <v>-2271.979166666667</v>
      </c>
      <c r="O115" s="139">
        <f t="shared" si="18"/>
        <v>471.02083333333212</v>
      </c>
      <c r="P115" s="139">
        <f t="shared" si="18"/>
        <v>3596.0208333333321</v>
      </c>
      <c r="Q115" s="139">
        <f t="shared" si="18"/>
        <v>-5154.979166666667</v>
      </c>
      <c r="R115" s="176">
        <f t="shared" si="18"/>
        <v>-2485.979166666667</v>
      </c>
      <c r="S115" s="118"/>
    </row>
    <row r="116" spans="2:23" s="108" customFormat="1" ht="18.75" thickBot="1">
      <c r="B116" s="617" t="s">
        <v>464</v>
      </c>
      <c r="C116" s="689" t="s">
        <v>520</v>
      </c>
      <c r="D116" s="706">
        <f>'données TK'!E5</f>
        <v>1</v>
      </c>
      <c r="E116" s="130"/>
      <c r="F116" s="182">
        <f>SUM(G116:R116)</f>
        <v>-102.24999999999977</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-25.562500000000114</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-25.562499999999886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-25.562499999999886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-25.562499999999886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4" t="s">
        <v>345</v>
      </c>
      <c r="C117" s="1015"/>
      <c r="D117" s="1015"/>
      <c r="E117" s="1015"/>
      <c r="F117" s="1047"/>
      <c r="G117" s="141">
        <f>IF(G116="",G6+G115,G6+G115+G116)</f>
        <v>34758.062499999985</v>
      </c>
      <c r="H117" s="141">
        <f t="shared" ref="H117:R117" si="19">IF(H116="",H6+H115,H6+H115+H116)</f>
        <v>29577.520833333318</v>
      </c>
      <c r="I117" s="141">
        <f t="shared" si="19"/>
        <v>30167.54166666665</v>
      </c>
      <c r="J117" s="141">
        <f t="shared" si="19"/>
        <v>36843.562499999985</v>
      </c>
      <c r="K117" s="141">
        <f t="shared" si="19"/>
        <v>39407.020833333314</v>
      </c>
      <c r="L117" s="141">
        <f t="shared" si="19"/>
        <v>42774.041666666642</v>
      </c>
      <c r="M117" s="141">
        <f t="shared" si="19"/>
        <v>47007.062499999978</v>
      </c>
      <c r="N117" s="141">
        <f t="shared" si="19"/>
        <v>44709.520833333314</v>
      </c>
      <c r="O117" s="141">
        <f t="shared" si="19"/>
        <v>45180.541666666642</v>
      </c>
      <c r="P117" s="141">
        <f t="shared" si="19"/>
        <v>48776.562499999971</v>
      </c>
      <c r="Q117" s="141">
        <f t="shared" si="19"/>
        <v>43596.020833333307</v>
      </c>
      <c r="R117" s="141">
        <f t="shared" si="19"/>
        <v>41110.041666666642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G10" zoomScaleNormal="100" workbookViewId="0">
      <selection activeCell="P10" sqref="P10"/>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101719.08333333333</v>
      </c>
      <c r="C7" s="143">
        <f>'BP - N'!H117</f>
        <v>95782.916666666657</v>
      </c>
      <c r="D7" s="143">
        <f>'BP - N'!I117</f>
        <v>28685.999999999985</v>
      </c>
      <c r="E7" s="143">
        <f>'BP - N'!J117</f>
        <v>73011.527777777766</v>
      </c>
      <c r="F7" s="143">
        <f>'BP - N'!K117</f>
        <v>79550.305555555547</v>
      </c>
      <c r="G7" s="143">
        <f>'BP - N'!L117</f>
        <v>33517.833333333328</v>
      </c>
      <c r="H7" s="143">
        <f>'BP - N'!M117</f>
        <v>47255.361111111109</v>
      </c>
      <c r="I7" s="143">
        <f>'BP - N'!N117</f>
        <v>48303.138888888891</v>
      </c>
      <c r="J7" s="143">
        <f>'BP - N'!O117</f>
        <v>39628.666666666672</v>
      </c>
      <c r="K7" s="143">
        <f>'BP - N'!P117</f>
        <v>30954.194444444449</v>
      </c>
      <c r="L7" s="143">
        <f>'BP - N'!Q117</f>
        <v>23823.972222222226</v>
      </c>
      <c r="M7" s="143">
        <f>'BP - N'!R117</f>
        <v>15139.500000000004</v>
      </c>
      <c r="N7" s="142">
        <f>'BP - N+1'!G117</f>
        <v>17399.500000000004</v>
      </c>
      <c r="O7" s="142">
        <f>'BP - N+1'!H117</f>
        <v>16396.166666666672</v>
      </c>
      <c r="P7" s="142">
        <f>'BP - N+1'!I117</f>
        <v>15981.166666666672</v>
      </c>
      <c r="Q7" s="142">
        <f>'BP - N+1'!J117</f>
        <v>18319.166666666672</v>
      </c>
      <c r="R7" s="142">
        <f>'BP - N+1'!K117</f>
        <v>19973.666666666672</v>
      </c>
      <c r="S7" s="142">
        <f>'BP - N+1'!L117</f>
        <v>22441.666666666672</v>
      </c>
      <c r="T7" s="142">
        <f>'BP - N+1'!M117</f>
        <v>20954.666666666672</v>
      </c>
      <c r="U7" s="142">
        <f>'BP - N+1'!N117</f>
        <v>18837.166666666672</v>
      </c>
      <c r="V7" s="142">
        <f>'BP - N+1'!O117</f>
        <v>18105.166666666672</v>
      </c>
      <c r="W7" s="142">
        <f>'BP - N+1'!P117</f>
        <v>20848.166666666672</v>
      </c>
      <c r="X7" s="142">
        <f>'BP - N+1'!Q117</f>
        <v>19364.666666666672</v>
      </c>
      <c r="Y7" s="142">
        <f>'BP - N+1'!R117</f>
        <v>16892.666666666672</v>
      </c>
      <c r="Z7" s="142">
        <f>'BP - N+2'!G117</f>
        <v>16849.833333333339</v>
      </c>
      <c r="AA7" s="142">
        <f>'BP - N+2'!H117</f>
        <v>12481.333333333339</v>
      </c>
      <c r="AB7" s="142">
        <f>'BP - N+2'!I117</f>
        <v>11000.500000000007</v>
      </c>
      <c r="AC7" s="142">
        <f>'BP - N+2'!J117</f>
        <v>13327.666666666673</v>
      </c>
      <c r="AD7" s="142">
        <f>'BP - N+2'!K117</f>
        <v>13711.833333333339</v>
      </c>
      <c r="AE7" s="142">
        <f>'BP - N+2'!L117</f>
        <v>15132.000000000007</v>
      </c>
      <c r="AF7" s="142">
        <f>'BP - N+2'!M117</f>
        <v>15805.166666666673</v>
      </c>
      <c r="AG7" s="142">
        <f>'BP - N+2'!N117</f>
        <v>14765.333333333339</v>
      </c>
      <c r="AH7" s="142">
        <f>'BP - N+2'!O117</f>
        <v>15653.500000000007</v>
      </c>
      <c r="AI7" s="142">
        <f>'BP - N+2'!P117</f>
        <v>19040.666666666675</v>
      </c>
      <c r="AJ7" s="142">
        <f>'BP - N+2'!Q117</f>
        <v>15694.833333333343</v>
      </c>
      <c r="AK7" s="142">
        <f>'BP - N+2'!R117</f>
        <v>14210.000000000011</v>
      </c>
      <c r="AL7" s="142">
        <f>'BP - N+3'!G117</f>
        <v>15200.333333333343</v>
      </c>
      <c r="AM7" s="142">
        <f>'BP - N+3'!H117</f>
        <v>10914.500000000009</v>
      </c>
      <c r="AN7" s="142">
        <f>'BP - N+3'!I117</f>
        <v>10111.833333333343</v>
      </c>
      <c r="AO7" s="142">
        <f>'BP - N+3'!J117</f>
        <v>14335.166666666675</v>
      </c>
      <c r="AP7" s="142">
        <f>'BP - N+3'!K117</f>
        <v>15738.000000000007</v>
      </c>
      <c r="AQ7" s="142">
        <f>'BP - N+3'!L117</f>
        <v>18562.333333333343</v>
      </c>
      <c r="AR7" s="142">
        <f>'BP - N+3'!M117</f>
        <v>20982.666666666675</v>
      </c>
      <c r="AS7" s="142">
        <f>'BP - N+3'!N117</f>
        <v>20604.500000000007</v>
      </c>
      <c r="AT7" s="142">
        <f>'BP - N+3'!O117</f>
        <v>22762.833333333339</v>
      </c>
      <c r="AU7" s="142">
        <f>'BP - N+3'!P117</f>
        <v>28046.166666666672</v>
      </c>
      <c r="AV7" s="142">
        <f>'BP - N+3'!Q117</f>
        <v>24785.000000000007</v>
      </c>
      <c r="AW7" s="142">
        <f>'BP - N+3'!R117</f>
        <v>23987.333333333343</v>
      </c>
      <c r="AX7" s="144">
        <f>'BP - N+4'!G117</f>
        <v>23290.354166666675</v>
      </c>
      <c r="AY7" s="144">
        <f>'BP - N+4'!H117</f>
        <v>18267.520833333339</v>
      </c>
      <c r="AZ7" s="144">
        <f>'BP - N+4'!I117</f>
        <v>18857.541666666672</v>
      </c>
      <c r="BA7" s="144">
        <f>'BP - N+4'!J117</f>
        <v>25533.562500000004</v>
      </c>
      <c r="BB7" s="144">
        <f>'BP - N+4'!K117</f>
        <v>28097.020833333336</v>
      </c>
      <c r="BC7" s="144">
        <f>'BP - N+4'!L117</f>
        <v>31464.041666666668</v>
      </c>
      <c r="BD7" s="144">
        <f>'BP - N+4'!M117</f>
        <v>35697.0625</v>
      </c>
      <c r="BE7" s="144">
        <f>'BP - N+4'!N117</f>
        <v>33399.520833333336</v>
      </c>
      <c r="BF7" s="144">
        <f>'BP - N+4'!O117</f>
        <v>33870.541666666672</v>
      </c>
      <c r="BG7" s="144">
        <f>'BP - N+4'!P117</f>
        <v>37466.5625</v>
      </c>
      <c r="BH7" s="144">
        <f>'BP - N+4'!Q117</f>
        <v>32286.020833333332</v>
      </c>
      <c r="BI7" s="144">
        <f>'BP - N+4'!R117</f>
        <v>29800.041666666664</v>
      </c>
      <c r="BJ7" s="142">
        <f>'BP - N+5'!G117</f>
        <v>29103.062499999996</v>
      </c>
      <c r="BK7" s="142">
        <f>'BP - N+5'!H117</f>
        <v>23922.520833333328</v>
      </c>
      <c r="BL7" s="142">
        <f>'BP - N+5'!I117</f>
        <v>24512.541666666661</v>
      </c>
      <c r="BM7" s="142">
        <f>'BP - N+5'!J117</f>
        <v>31188.562499999993</v>
      </c>
      <c r="BN7" s="142">
        <f>'BP - N+5'!K117</f>
        <v>33752.020833333328</v>
      </c>
      <c r="BO7" s="142">
        <f>'BP - N+5'!L117</f>
        <v>37119.041666666657</v>
      </c>
      <c r="BP7" s="142">
        <f>'BP - N+5'!M117</f>
        <v>41352.062499999993</v>
      </c>
      <c r="BQ7" s="142">
        <f>'BP - N+5'!N117</f>
        <v>39054.520833333328</v>
      </c>
      <c r="BR7" s="142">
        <f>'BP - N+5'!O117</f>
        <v>39525.541666666657</v>
      </c>
      <c r="BS7" s="142">
        <f>'BP - N+5'!P117</f>
        <v>43121.562499999985</v>
      </c>
      <c r="BT7" s="142">
        <f>'BP - N+5'!Q117</f>
        <v>37941.020833333321</v>
      </c>
      <c r="BU7" s="142">
        <f>'BP - N+5'!R117</f>
        <v>35455.041666666657</v>
      </c>
      <c r="BV7" s="142">
        <f>'BP - N+6'!G117</f>
        <v>34758.062499999985</v>
      </c>
      <c r="BW7" s="142">
        <f>'BP - N+6'!H117</f>
        <v>29577.520833333318</v>
      </c>
      <c r="BX7" s="142">
        <f>'BP - N+6'!I117</f>
        <v>30167.54166666665</v>
      </c>
      <c r="BY7" s="142">
        <f>'BP - N+6'!J117</f>
        <v>36843.562499999985</v>
      </c>
      <c r="BZ7" s="142">
        <f>'BP - N+6'!K117</f>
        <v>39407.020833333314</v>
      </c>
      <c r="CA7" s="142">
        <f>'BP - N+6'!L117</f>
        <v>42774.041666666642</v>
      </c>
      <c r="CB7" s="142">
        <f>'BP - N+6'!M117</f>
        <v>47007.062499999978</v>
      </c>
      <c r="CC7" s="142">
        <f>'BP - N+6'!N117</f>
        <v>44709.520833333314</v>
      </c>
      <c r="CD7" s="142">
        <f>'BP - N+6'!O117</f>
        <v>45180.541666666642</v>
      </c>
      <c r="CE7" s="142">
        <f>'BP - N+6'!P117</f>
        <v>48776.562499999971</v>
      </c>
      <c r="CF7" s="142">
        <f>'BP - N+6'!Q117</f>
        <v>43596.020833333307</v>
      </c>
      <c r="CG7" s="142">
        <f>'BP - N+6'!R117</f>
        <v>41110.041666666642</v>
      </c>
    </row>
    <row r="10" spans="2:85" ht="13.5" thickBot="1"/>
    <row r="11" spans="2:85">
      <c r="G11" s="1050" t="s">
        <v>361</v>
      </c>
      <c r="H11" s="1051"/>
      <c r="I11" s="1051"/>
      <c r="J11" s="1051"/>
      <c r="K11" s="1051"/>
      <c r="L11" s="1051"/>
      <c r="M11" s="1051"/>
      <c r="N11" s="1051"/>
      <c r="O11" s="1051"/>
      <c r="P11" s="1051"/>
      <c r="Q11" s="1051"/>
      <c r="R11" s="1051"/>
      <c r="S11" s="1051"/>
      <c r="T11" s="1051"/>
      <c r="U11" s="1051"/>
      <c r="V11" s="1051"/>
      <c r="W11" s="1051"/>
      <c r="X11" s="1051"/>
      <c r="Y11" s="1052"/>
    </row>
    <row r="12" spans="2:85">
      <c r="G12" s="1053"/>
      <c r="H12" s="1054"/>
      <c r="I12" s="1054"/>
      <c r="J12" s="1054"/>
      <c r="K12" s="1054"/>
      <c r="L12" s="1054"/>
      <c r="M12" s="1054"/>
      <c r="N12" s="1054"/>
      <c r="O12" s="1054"/>
      <c r="P12" s="1054"/>
      <c r="Q12" s="1054"/>
      <c r="R12" s="1054"/>
      <c r="S12" s="1054"/>
      <c r="T12" s="1054"/>
      <c r="U12" s="1054"/>
      <c r="V12" s="1054"/>
      <c r="W12" s="1054"/>
      <c r="X12" s="1054"/>
      <c r="Y12" s="1055"/>
    </row>
    <row r="13" spans="2:85">
      <c r="G13" s="1053"/>
      <c r="H13" s="1054"/>
      <c r="I13" s="1054"/>
      <c r="J13" s="1054"/>
      <c r="K13" s="1054"/>
      <c r="L13" s="1054"/>
      <c r="M13" s="1054"/>
      <c r="N13" s="1054"/>
      <c r="O13" s="1054"/>
      <c r="P13" s="1054"/>
      <c r="Q13" s="1054"/>
      <c r="R13" s="1054"/>
      <c r="S13" s="1054"/>
      <c r="T13" s="1054"/>
      <c r="U13" s="1054"/>
      <c r="V13" s="1054"/>
      <c r="W13" s="1054"/>
      <c r="X13" s="1054"/>
      <c r="Y13" s="1055"/>
    </row>
    <row r="14" spans="2:85" ht="13.5" thickBot="1">
      <c r="G14" s="1056"/>
      <c r="H14" s="1057"/>
      <c r="I14" s="1057"/>
      <c r="J14" s="1057"/>
      <c r="K14" s="1057"/>
      <c r="L14" s="1057"/>
      <c r="M14" s="1057"/>
      <c r="N14" s="1057"/>
      <c r="O14" s="1057"/>
      <c r="P14" s="1057"/>
      <c r="Q14" s="1057"/>
      <c r="R14" s="1057"/>
      <c r="S14" s="1057"/>
      <c r="T14" s="1057"/>
      <c r="U14" s="1057"/>
      <c r="V14" s="1057"/>
      <c r="W14" s="1057"/>
      <c r="X14" s="1057"/>
      <c r="Y14" s="1058"/>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31</vt:i4>
      </vt:variant>
      <vt:variant>
        <vt:lpstr>Plages nommées</vt:lpstr>
      </vt:variant>
      <vt:variant>
        <vt:i4>1</vt:i4>
      </vt:variant>
    </vt:vector>
  </HeadingPairs>
  <TitlesOfParts>
    <vt:vector size="32"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Prix de revient Fraises</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2025-09-16T10:27:51Z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